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Y\Desktop\"/>
    </mc:Choice>
  </mc:AlternateContent>
  <xr:revisionPtr revIDLastSave="0" documentId="8_{1C9B7840-F6A5-476A-8334-A7102CCB5372}" xr6:coauthVersionLast="47" xr6:coauthVersionMax="47" xr10:uidLastSave="{00000000-0000-0000-0000-000000000000}"/>
  <bookViews>
    <workbookView xWindow="-120" yWindow="-120" windowWidth="29040" windowHeight="15720" xr2:uid="{35D37092-5C2F-457D-A2B2-9AE5D796B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D26" i="1" s="1"/>
  <c r="C28" i="1"/>
  <c r="D27" i="1" s="1"/>
  <c r="E26" i="1" s="1"/>
  <c r="C29" i="1"/>
  <c r="D28" i="1" s="1"/>
  <c r="E27" i="1" s="1"/>
  <c r="C30" i="1"/>
  <c r="D29" i="1" s="1"/>
  <c r="E28" i="1" s="1"/>
  <c r="F27" i="1" s="1"/>
  <c r="G26" i="1" s="1"/>
  <c r="C31" i="1"/>
  <c r="C32" i="1"/>
  <c r="D31" i="1" s="1"/>
  <c r="E30" i="1" s="1"/>
  <c r="F29" i="1" s="1"/>
  <c r="G28" i="1" s="1"/>
  <c r="H27" i="1" s="1"/>
  <c r="I26" i="1" s="1"/>
  <c r="C33" i="1"/>
  <c r="D32" i="1" s="1"/>
  <c r="E31" i="1" s="1"/>
  <c r="F30" i="1" s="1"/>
  <c r="G29" i="1" s="1"/>
  <c r="H28" i="1" s="1"/>
  <c r="I27" i="1" s="1"/>
  <c r="J26" i="1" s="1"/>
  <c r="C34" i="1"/>
  <c r="D33" i="1" s="1"/>
  <c r="E32" i="1" s="1"/>
  <c r="F31" i="1" s="1"/>
  <c r="G30" i="1" s="1"/>
  <c r="H29" i="1" s="1"/>
  <c r="I28" i="1" s="1"/>
  <c r="J27" i="1" s="1"/>
  <c r="K26" i="1" s="1"/>
  <c r="C35" i="1"/>
  <c r="D34" i="1" s="1"/>
  <c r="E33" i="1" s="1"/>
  <c r="F32" i="1" s="1"/>
  <c r="G31" i="1" s="1"/>
  <c r="H30" i="1" s="1"/>
  <c r="I29" i="1" s="1"/>
  <c r="J28" i="1" s="1"/>
  <c r="K27" i="1" s="1"/>
  <c r="L26" i="1" s="1"/>
  <c r="C36" i="1"/>
  <c r="D35" i="1" s="1"/>
  <c r="E34" i="1" s="1"/>
  <c r="F33" i="1" s="1"/>
  <c r="G32" i="1" s="1"/>
  <c r="H31" i="1" s="1"/>
  <c r="I30" i="1" s="1"/>
  <c r="J29" i="1" s="1"/>
  <c r="K28" i="1" s="1"/>
  <c r="L27" i="1" s="1"/>
  <c r="M26" i="1" s="1"/>
  <c r="C37" i="1"/>
  <c r="D36" i="1" s="1"/>
  <c r="E35" i="1" s="1"/>
  <c r="F34" i="1" s="1"/>
  <c r="G33" i="1" s="1"/>
  <c r="H32" i="1" s="1"/>
  <c r="I31" i="1" s="1"/>
  <c r="J30" i="1" s="1"/>
  <c r="K29" i="1" s="1"/>
  <c r="L28" i="1" s="1"/>
  <c r="M27" i="1" s="1"/>
  <c r="N26" i="1" s="1"/>
  <c r="C38" i="1"/>
  <c r="D37" i="1" s="1"/>
  <c r="E36" i="1" s="1"/>
  <c r="F35" i="1" s="1"/>
  <c r="G34" i="1" s="1"/>
  <c r="H33" i="1" s="1"/>
  <c r="I32" i="1" s="1"/>
  <c r="J31" i="1" s="1"/>
  <c r="K30" i="1" s="1"/>
  <c r="L29" i="1" s="1"/>
  <c r="M28" i="1" s="1"/>
  <c r="N27" i="1" s="1"/>
  <c r="O26" i="1" s="1"/>
  <c r="C39" i="1"/>
  <c r="D38" i="1" s="1"/>
  <c r="E37" i="1" s="1"/>
  <c r="F36" i="1" s="1"/>
  <c r="G35" i="1" s="1"/>
  <c r="H34" i="1" s="1"/>
  <c r="I33" i="1" s="1"/>
  <c r="J32" i="1" s="1"/>
  <c r="K31" i="1" s="1"/>
  <c r="L30" i="1" s="1"/>
  <c r="M29" i="1" s="1"/>
  <c r="N28" i="1" s="1"/>
  <c r="O27" i="1" s="1"/>
  <c r="P26" i="1" s="1"/>
  <c r="C40" i="1"/>
  <c r="D39" i="1" s="1"/>
  <c r="E38" i="1" s="1"/>
  <c r="F37" i="1" s="1"/>
  <c r="G36" i="1" s="1"/>
  <c r="H35" i="1" s="1"/>
  <c r="I34" i="1" s="1"/>
  <c r="J33" i="1" s="1"/>
  <c r="K32" i="1" s="1"/>
  <c r="L31" i="1" s="1"/>
  <c r="M30" i="1" s="1"/>
  <c r="N29" i="1" s="1"/>
  <c r="O28" i="1" s="1"/>
  <c r="P27" i="1" s="1"/>
  <c r="Q26" i="1" s="1"/>
  <c r="C26" i="1"/>
  <c r="B43" i="1"/>
  <c r="B50" i="1" s="1"/>
  <c r="R26" i="1"/>
  <c r="R43" i="1" s="1"/>
  <c r="D30" i="1"/>
  <c r="E29" i="1" s="1"/>
  <c r="F28" i="1" s="1"/>
  <c r="G27" i="1" s="1"/>
  <c r="H26" i="1" s="1"/>
  <c r="D3" i="1"/>
  <c r="E2" i="1" s="1"/>
  <c r="D4" i="1"/>
  <c r="E3" i="1" s="1"/>
  <c r="D5" i="1"/>
  <c r="E4" i="1" s="1"/>
  <c r="F3" i="1" s="1"/>
  <c r="G2" i="1" s="1"/>
  <c r="D6" i="1"/>
  <c r="E5" i="1" s="1"/>
  <c r="F4" i="1" s="1"/>
  <c r="G3" i="1" s="1"/>
  <c r="H2" i="1" s="1"/>
  <c r="D8" i="1"/>
  <c r="E7" i="1" s="1"/>
  <c r="F6" i="1" s="1"/>
  <c r="G5" i="1" s="1"/>
  <c r="H4" i="1" s="1"/>
  <c r="I3" i="1" s="1"/>
  <c r="J2" i="1" s="1"/>
  <c r="D9" i="1"/>
  <c r="E8" i="1" s="1"/>
  <c r="F7" i="1" s="1"/>
  <c r="G6" i="1" s="1"/>
  <c r="H5" i="1" s="1"/>
  <c r="I4" i="1" s="1"/>
  <c r="J3" i="1" s="1"/>
  <c r="K2" i="1" s="1"/>
  <c r="D10" i="1"/>
  <c r="E9" i="1" s="1"/>
  <c r="F8" i="1" s="1"/>
  <c r="G7" i="1" s="1"/>
  <c r="H6" i="1" s="1"/>
  <c r="I5" i="1" s="1"/>
  <c r="J4" i="1" s="1"/>
  <c r="K3" i="1" s="1"/>
  <c r="L2" i="1" s="1"/>
  <c r="D12" i="1"/>
  <c r="D13" i="1"/>
  <c r="E12" i="1" s="1"/>
  <c r="F11" i="1" s="1"/>
  <c r="G10" i="1" s="1"/>
  <c r="H9" i="1" s="1"/>
  <c r="I8" i="1" s="1"/>
  <c r="J7" i="1" s="1"/>
  <c r="K6" i="1" s="1"/>
  <c r="L5" i="1" s="1"/>
  <c r="M4" i="1" s="1"/>
  <c r="N3" i="1" s="1"/>
  <c r="O2" i="1" s="1"/>
  <c r="D14" i="1"/>
  <c r="E13" i="1" s="1"/>
  <c r="F12" i="1" s="1"/>
  <c r="G11" i="1" s="1"/>
  <c r="H10" i="1" s="1"/>
  <c r="I9" i="1" s="1"/>
  <c r="J8" i="1" s="1"/>
  <c r="K7" i="1" s="1"/>
  <c r="L6" i="1" s="1"/>
  <c r="M5" i="1" s="1"/>
  <c r="N4" i="1" s="1"/>
  <c r="O3" i="1" s="1"/>
  <c r="P2" i="1" s="1"/>
  <c r="D15" i="1"/>
  <c r="D2" i="1"/>
  <c r="C2" i="1"/>
  <c r="C3" i="1"/>
  <c r="C4" i="1"/>
  <c r="C5" i="1"/>
  <c r="C6" i="1"/>
  <c r="C7" i="1"/>
  <c r="C12" i="1"/>
  <c r="D11" i="1" s="1"/>
  <c r="E10" i="1" s="1"/>
  <c r="F9" i="1" s="1"/>
  <c r="G8" i="1" s="1"/>
  <c r="H7" i="1" s="1"/>
  <c r="I6" i="1" s="1"/>
  <c r="J5" i="1" s="1"/>
  <c r="K4" i="1" s="1"/>
  <c r="L3" i="1" s="1"/>
  <c r="M2" i="1" s="1"/>
  <c r="C11" i="1"/>
  <c r="C9" i="1"/>
  <c r="C10" i="1"/>
  <c r="C8" i="1"/>
  <c r="D7" i="1" s="1"/>
  <c r="E6" i="1" s="1"/>
  <c r="F5" i="1" s="1"/>
  <c r="G4" i="1" s="1"/>
  <c r="H3" i="1" s="1"/>
  <c r="I2" i="1" s="1"/>
  <c r="C14" i="1"/>
  <c r="C13" i="1"/>
  <c r="C15" i="1"/>
  <c r="C16" i="1"/>
  <c r="C17" i="1"/>
  <c r="D16" i="1" s="1"/>
  <c r="E15" i="1" s="1"/>
  <c r="F14" i="1" s="1"/>
  <c r="G13" i="1" s="1"/>
  <c r="H12" i="1" s="1"/>
  <c r="I11" i="1" s="1"/>
  <c r="J10" i="1" s="1"/>
  <c r="K9" i="1" s="1"/>
  <c r="L8" i="1" s="1"/>
  <c r="M7" i="1" s="1"/>
  <c r="N6" i="1" s="1"/>
  <c r="O5" i="1" s="1"/>
  <c r="P4" i="1" s="1"/>
  <c r="Q3" i="1" s="1"/>
  <c r="R2" i="1" s="1"/>
  <c r="R19" i="1" s="1"/>
  <c r="B19" i="1"/>
  <c r="S16" i="1" l="1"/>
  <c r="S15" i="1"/>
  <c r="S17" i="1"/>
  <c r="E11" i="1"/>
  <c r="F2" i="1"/>
  <c r="S28" i="1"/>
  <c r="S27" i="1"/>
  <c r="S39" i="1"/>
  <c r="Q43" i="1"/>
  <c r="S37" i="1"/>
  <c r="S36" i="1"/>
  <c r="S35" i="1"/>
  <c r="S34" i="1"/>
  <c r="S33" i="1"/>
  <c r="S32" i="1"/>
  <c r="S40" i="1"/>
  <c r="S38" i="1"/>
  <c r="S31" i="1"/>
  <c r="S30" i="1"/>
  <c r="S29" i="1"/>
  <c r="C19" i="1"/>
  <c r="D19" i="1"/>
  <c r="E14" i="1"/>
  <c r="S14" i="1" s="1"/>
  <c r="C43" i="1"/>
  <c r="L43" i="1"/>
  <c r="N43" i="1"/>
  <c r="I43" i="1"/>
  <c r="G43" i="1"/>
  <c r="O43" i="1"/>
  <c r="P43" i="1"/>
  <c r="J43" i="1"/>
  <c r="K43" i="1"/>
  <c r="M43" i="1"/>
  <c r="D43" i="1"/>
  <c r="H43" i="1"/>
  <c r="E43" i="1"/>
  <c r="F26" i="1"/>
  <c r="F43" i="1" s="1"/>
  <c r="S26" i="1" l="1"/>
  <c r="F10" i="1"/>
  <c r="S43" i="1"/>
  <c r="F13" i="1"/>
  <c r="S13" i="1" s="1"/>
  <c r="E19" i="1"/>
  <c r="C47" i="1"/>
  <c r="C50" i="1" s="1"/>
  <c r="D50" i="1" s="1"/>
  <c r="G9" i="1" l="1"/>
  <c r="G12" i="1"/>
  <c r="S12" i="1" s="1"/>
  <c r="F19" i="1"/>
  <c r="H8" i="1" l="1"/>
  <c r="H11" i="1"/>
  <c r="S11" i="1" s="1"/>
  <c r="G19" i="1"/>
  <c r="I7" i="1" l="1"/>
  <c r="I10" i="1"/>
  <c r="S10" i="1" s="1"/>
  <c r="H19" i="1"/>
  <c r="J6" i="1" l="1"/>
  <c r="J9" i="1"/>
  <c r="S9" i="1" s="1"/>
  <c r="I19" i="1"/>
  <c r="K5" i="1" l="1"/>
  <c r="K8" i="1"/>
  <c r="S8" i="1" s="1"/>
  <c r="J19" i="1"/>
  <c r="L4" i="1" l="1"/>
  <c r="L7" i="1"/>
  <c r="S7" i="1" s="1"/>
  <c r="K19" i="1"/>
  <c r="M3" i="1" l="1"/>
  <c r="M6" i="1"/>
  <c r="S6" i="1" s="1"/>
  <c r="L19" i="1"/>
  <c r="N2" i="1" l="1"/>
  <c r="M19" i="1"/>
  <c r="N5" i="1"/>
  <c r="S5" i="1" s="1"/>
  <c r="N19" i="1" l="1"/>
  <c r="O4" i="1"/>
  <c r="S4" i="1" s="1"/>
  <c r="P3" i="1" l="1"/>
  <c r="S3" i="1" s="1"/>
  <c r="O19" i="1"/>
  <c r="Q2" i="1" l="1"/>
  <c r="P19" i="1"/>
  <c r="Q19" i="1" l="1"/>
  <c r="S19" i="1" s="1"/>
  <c r="S2" i="1"/>
  <c r="C23" i="1" l="1"/>
  <c r="E50" i="1" l="1"/>
  <c r="F50" i="1" s="1"/>
  <c r="S23" i="1"/>
</calcChain>
</file>

<file path=xl/sharedStrings.xml><?xml version="1.0" encoding="utf-8"?>
<sst xmlns="http://schemas.openxmlformats.org/spreadsheetml/2006/main" count="42" uniqueCount="11">
  <si>
    <t>각 투자금</t>
    <phoneticPr fontId="1" type="noConversion"/>
  </si>
  <si>
    <t>데일리 0.35%</t>
    <phoneticPr fontId="1" type="noConversion"/>
  </si>
  <si>
    <t>다음대수의 10%</t>
    <phoneticPr fontId="1" type="noConversion"/>
  </si>
  <si>
    <t>합계</t>
    <phoneticPr fontId="1" type="noConversion"/>
  </si>
  <si>
    <t>투자금 합계</t>
    <phoneticPr fontId="1" type="noConversion"/>
  </si>
  <si>
    <t>직추천 합계(1회성)</t>
    <phoneticPr fontId="1" type="noConversion"/>
  </si>
  <si>
    <t>잔금</t>
    <phoneticPr fontId="1" type="noConversion"/>
  </si>
  <si>
    <t>데일리 합계</t>
    <phoneticPr fontId="1" type="noConversion"/>
  </si>
  <si>
    <t>유지기간(일)</t>
    <phoneticPr fontId="1" type="noConversion"/>
  </si>
  <si>
    <t>직추천수익 1대 10%</t>
    <phoneticPr fontId="1" type="noConversion"/>
  </si>
  <si>
    <t>데일리 합계(1일)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</si>
</sst>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&quot;₩&quot;#,##0.00000000_);[Red]\(&quot;₩&quot;#,##0.00000000\)"/>
    <numFmt numFmtId="182" formatCode="#,##0.00000000_);[Red]\(#,##0.00000000\)"/>
    <numFmt numFmtId="188" formatCode="&quot;₩&quot;#,##0.00000000000_);[Red]\(&quot;₩&quot;#,##0.000000000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  <xf numFmtId="182" fontId="0" fillId="0" borderId="0" xfId="0" applyNumberFormat="1">
      <alignment vertical="center"/>
    </xf>
    <xf numFmtId="0" fontId="0" fillId="0" borderId="0" xfId="0" applyFill="1">
      <alignment vertical="center"/>
    </xf>
    <xf numFmtId="182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188" fontId="0" fillId="0" borderId="0" xfId="0" applyNumberFormat="1">
      <alignment vertical="center"/>
    </xf>
    <xf numFmtId="188" fontId="0" fillId="0" borderId="0" xfId="0" applyNumberFormat="1" applyFill="1">
      <alignment vertical="center"/>
    </xf>
    <xf numFmtId="188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4210-73DF-441C-AABF-D83342D8822D}">
  <dimension ref="A1:AH50"/>
  <sheetViews>
    <sheetView tabSelected="1" workbookViewId="0">
      <selection activeCell="C47" sqref="C47"/>
    </sheetView>
  </sheetViews>
  <sheetFormatPr defaultRowHeight="16.5" x14ac:dyDescent="0.3"/>
  <cols>
    <col min="1" max="1" width="4.25" customWidth="1"/>
    <col min="2" max="19" width="23.375" style="7" customWidth="1"/>
    <col min="20" max="20" width="23" style="3" customWidth="1"/>
    <col min="21" max="30" width="9" style="3"/>
    <col min="31" max="34" width="9" style="1"/>
  </cols>
  <sheetData>
    <row r="1" spans="1:34" s="10" customFormat="1" x14ac:dyDescent="0.3">
      <c r="B1" s="11" t="s">
        <v>0</v>
      </c>
      <c r="C1" s="11" t="s">
        <v>1</v>
      </c>
      <c r="D1" s="11" t="s">
        <v>2</v>
      </c>
      <c r="E1" s="11" t="s">
        <v>2</v>
      </c>
      <c r="F1" s="11" t="s">
        <v>2</v>
      </c>
      <c r="G1" s="11" t="s">
        <v>2</v>
      </c>
      <c r="H1" s="11" t="s">
        <v>2</v>
      </c>
      <c r="I1" s="11" t="s">
        <v>2</v>
      </c>
      <c r="J1" s="11" t="s">
        <v>2</v>
      </c>
      <c r="K1" s="11" t="s">
        <v>2</v>
      </c>
      <c r="L1" s="11" t="s">
        <v>2</v>
      </c>
      <c r="M1" s="11" t="s">
        <v>2</v>
      </c>
      <c r="N1" s="11" t="s">
        <v>2</v>
      </c>
      <c r="O1" s="11" t="s">
        <v>2</v>
      </c>
      <c r="P1" s="11" t="s">
        <v>2</v>
      </c>
      <c r="Q1" s="11" t="s">
        <v>2</v>
      </c>
      <c r="R1" s="11" t="s">
        <v>2</v>
      </c>
      <c r="S1" s="11" t="s">
        <v>3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  <c r="AF1" s="13"/>
      <c r="AG1" s="13"/>
      <c r="AH1" s="13"/>
    </row>
    <row r="2" spans="1:34" x14ac:dyDescent="0.3">
      <c r="A2">
        <v>0</v>
      </c>
      <c r="B2" s="7">
        <v>1000000</v>
      </c>
      <c r="C2" s="7">
        <f>B2*0.35%</f>
        <v>3499.9999999999995</v>
      </c>
      <c r="D2" s="7">
        <f>C3*10%</f>
        <v>350</v>
      </c>
      <c r="E2" s="7">
        <f>D3*10%</f>
        <v>35</v>
      </c>
      <c r="F2" s="7">
        <f>E3*10%</f>
        <v>3.5</v>
      </c>
      <c r="G2" s="7">
        <f>F3*10%</f>
        <v>0.35000000000000003</v>
      </c>
      <c r="H2" s="7">
        <f>G3*10%</f>
        <v>3.5000000000000003E-2</v>
      </c>
      <c r="I2" s="7">
        <f>H3*10%</f>
        <v>3.5000000000000005E-3</v>
      </c>
      <c r="J2" s="7">
        <f>I3*10%</f>
        <v>3.5000000000000005E-4</v>
      </c>
      <c r="K2" s="7">
        <f>J3*10%</f>
        <v>3.5000000000000004E-5</v>
      </c>
      <c r="L2" s="7">
        <f>K3*10%</f>
        <v>3.5000000000000004E-6</v>
      </c>
      <c r="M2" s="7">
        <f>L3*10%</f>
        <v>3.5000000000000004E-7</v>
      </c>
      <c r="N2" s="7">
        <f>M3*10%</f>
        <v>3.5000000000000002E-8</v>
      </c>
      <c r="O2" s="7">
        <f>N3*10%</f>
        <v>3.5000000000000003E-9</v>
      </c>
      <c r="P2" s="7">
        <f>O3*10%</f>
        <v>3.5000000000000003E-10</v>
      </c>
      <c r="Q2" s="7">
        <f>P3*10%</f>
        <v>3.5000000000000008E-11</v>
      </c>
      <c r="R2" s="7">
        <f>Q3*10%</f>
        <v>3.5000000000000008E-12</v>
      </c>
      <c r="S2" s="7">
        <f>SUM(C2:R2)</f>
        <v>3888.8888888888878</v>
      </c>
    </row>
    <row r="3" spans="1:34" x14ac:dyDescent="0.3">
      <c r="A3">
        <v>1</v>
      </c>
      <c r="B3" s="7">
        <v>1000000</v>
      </c>
      <c r="C3" s="7">
        <f>B3*0.35%</f>
        <v>3499.9999999999995</v>
      </c>
      <c r="D3" s="7">
        <f t="shared" ref="D3:Q18" si="0">C4*10%</f>
        <v>350</v>
      </c>
      <c r="E3" s="7">
        <f t="shared" si="0"/>
        <v>35</v>
      </c>
      <c r="F3" s="7">
        <f t="shared" si="0"/>
        <v>3.5</v>
      </c>
      <c r="G3" s="7">
        <f t="shared" si="0"/>
        <v>0.35000000000000003</v>
      </c>
      <c r="H3" s="7">
        <f t="shared" si="0"/>
        <v>3.5000000000000003E-2</v>
      </c>
      <c r="I3" s="7">
        <f t="shared" si="0"/>
        <v>3.5000000000000005E-3</v>
      </c>
      <c r="J3" s="7">
        <f t="shared" si="0"/>
        <v>3.5000000000000005E-4</v>
      </c>
      <c r="K3" s="7">
        <f t="shared" si="0"/>
        <v>3.5000000000000004E-5</v>
      </c>
      <c r="L3" s="7">
        <f t="shared" si="0"/>
        <v>3.5000000000000004E-6</v>
      </c>
      <c r="M3" s="7">
        <f t="shared" si="0"/>
        <v>3.5000000000000004E-7</v>
      </c>
      <c r="N3" s="7">
        <f t="shared" si="0"/>
        <v>3.5000000000000002E-8</v>
      </c>
      <c r="O3" s="7">
        <f t="shared" si="0"/>
        <v>3.5000000000000003E-9</v>
      </c>
      <c r="P3" s="7">
        <f t="shared" si="0"/>
        <v>3.5000000000000003E-10</v>
      </c>
      <c r="Q3" s="7">
        <f t="shared" si="0"/>
        <v>3.5000000000000008E-11</v>
      </c>
      <c r="S3" s="7">
        <f t="shared" ref="S3:S43" si="1">SUM(C3:R3)</f>
        <v>3888.8888888888841</v>
      </c>
    </row>
    <row r="4" spans="1:34" x14ac:dyDescent="0.3">
      <c r="A4">
        <v>2</v>
      </c>
      <c r="B4" s="7">
        <v>1000000</v>
      </c>
      <c r="C4" s="7">
        <f>B4*0.35%</f>
        <v>3499.9999999999995</v>
      </c>
      <c r="D4" s="7">
        <f t="shared" si="0"/>
        <v>350</v>
      </c>
      <c r="E4" s="7">
        <f t="shared" si="0"/>
        <v>35</v>
      </c>
      <c r="F4" s="7">
        <f t="shared" si="0"/>
        <v>3.5</v>
      </c>
      <c r="G4" s="7">
        <f t="shared" si="0"/>
        <v>0.35000000000000003</v>
      </c>
      <c r="H4" s="7">
        <f t="shared" si="0"/>
        <v>3.5000000000000003E-2</v>
      </c>
      <c r="I4" s="7">
        <f t="shared" si="0"/>
        <v>3.5000000000000005E-3</v>
      </c>
      <c r="J4" s="7">
        <f t="shared" si="0"/>
        <v>3.5000000000000005E-4</v>
      </c>
      <c r="K4" s="7">
        <f t="shared" si="0"/>
        <v>3.5000000000000004E-5</v>
      </c>
      <c r="L4" s="7">
        <f t="shared" si="0"/>
        <v>3.5000000000000004E-6</v>
      </c>
      <c r="M4" s="7">
        <f t="shared" si="0"/>
        <v>3.5000000000000004E-7</v>
      </c>
      <c r="N4" s="7">
        <f t="shared" si="0"/>
        <v>3.5000000000000002E-8</v>
      </c>
      <c r="O4" s="7">
        <f t="shared" si="0"/>
        <v>3.5000000000000003E-9</v>
      </c>
      <c r="P4" s="7">
        <f t="shared" si="0"/>
        <v>3.5000000000000003E-10</v>
      </c>
      <c r="S4" s="7">
        <f t="shared" si="1"/>
        <v>3888.8888888888491</v>
      </c>
    </row>
    <row r="5" spans="1:34" x14ac:dyDescent="0.3">
      <c r="A5">
        <v>3</v>
      </c>
      <c r="B5" s="7">
        <v>1000000</v>
      </c>
      <c r="C5" s="7">
        <f>B5*0.35%</f>
        <v>3499.9999999999995</v>
      </c>
      <c r="D5" s="7">
        <f t="shared" si="0"/>
        <v>350</v>
      </c>
      <c r="E5" s="7">
        <f t="shared" si="0"/>
        <v>35</v>
      </c>
      <c r="F5" s="7">
        <f t="shared" si="0"/>
        <v>3.5</v>
      </c>
      <c r="G5" s="7">
        <f t="shared" si="0"/>
        <v>0.35000000000000003</v>
      </c>
      <c r="H5" s="7">
        <f t="shared" si="0"/>
        <v>3.5000000000000003E-2</v>
      </c>
      <c r="I5" s="7">
        <f t="shared" si="0"/>
        <v>3.5000000000000005E-3</v>
      </c>
      <c r="J5" s="7">
        <f t="shared" si="0"/>
        <v>3.5000000000000005E-4</v>
      </c>
      <c r="K5" s="7">
        <f t="shared" si="0"/>
        <v>3.5000000000000004E-5</v>
      </c>
      <c r="L5" s="7">
        <f t="shared" si="0"/>
        <v>3.5000000000000004E-6</v>
      </c>
      <c r="M5" s="7">
        <f t="shared" si="0"/>
        <v>3.5000000000000004E-7</v>
      </c>
      <c r="N5" s="7">
        <f t="shared" si="0"/>
        <v>3.5000000000000002E-8</v>
      </c>
      <c r="O5" s="7">
        <f t="shared" si="0"/>
        <v>3.5000000000000003E-9</v>
      </c>
      <c r="S5" s="7">
        <f t="shared" si="1"/>
        <v>3888.888888888499</v>
      </c>
    </row>
    <row r="6" spans="1:34" x14ac:dyDescent="0.3">
      <c r="A6">
        <v>4</v>
      </c>
      <c r="B6" s="7">
        <v>1000000</v>
      </c>
      <c r="C6" s="7">
        <f>B6*0.35%</f>
        <v>3499.9999999999995</v>
      </c>
      <c r="D6" s="7">
        <f t="shared" si="0"/>
        <v>350</v>
      </c>
      <c r="E6" s="7">
        <f t="shared" si="0"/>
        <v>35</v>
      </c>
      <c r="F6" s="7">
        <f t="shared" si="0"/>
        <v>3.5</v>
      </c>
      <c r="G6" s="7">
        <f t="shared" si="0"/>
        <v>0.35000000000000003</v>
      </c>
      <c r="H6" s="7">
        <f t="shared" si="0"/>
        <v>3.5000000000000003E-2</v>
      </c>
      <c r="I6" s="7">
        <f t="shared" si="0"/>
        <v>3.5000000000000005E-3</v>
      </c>
      <c r="J6" s="7">
        <f t="shared" si="0"/>
        <v>3.5000000000000005E-4</v>
      </c>
      <c r="K6" s="7">
        <f t="shared" si="0"/>
        <v>3.5000000000000004E-5</v>
      </c>
      <c r="L6" s="7">
        <f t="shared" si="0"/>
        <v>3.5000000000000004E-6</v>
      </c>
      <c r="M6" s="7">
        <f t="shared" si="0"/>
        <v>3.5000000000000004E-7</v>
      </c>
      <c r="N6" s="7">
        <f t="shared" si="0"/>
        <v>3.5000000000000002E-8</v>
      </c>
      <c r="S6" s="7">
        <f t="shared" si="1"/>
        <v>3888.8888888849988</v>
      </c>
    </row>
    <row r="7" spans="1:34" x14ac:dyDescent="0.3">
      <c r="A7">
        <v>5</v>
      </c>
      <c r="B7" s="7">
        <v>1000000</v>
      </c>
      <c r="C7" s="7">
        <f>B7*0.35%</f>
        <v>3499.9999999999995</v>
      </c>
      <c r="D7" s="7">
        <f t="shared" si="0"/>
        <v>350</v>
      </c>
      <c r="E7" s="7">
        <f t="shared" si="0"/>
        <v>35</v>
      </c>
      <c r="F7" s="7">
        <f t="shared" si="0"/>
        <v>3.5</v>
      </c>
      <c r="G7" s="7">
        <f t="shared" si="0"/>
        <v>0.35000000000000003</v>
      </c>
      <c r="H7" s="7">
        <f t="shared" si="0"/>
        <v>3.5000000000000003E-2</v>
      </c>
      <c r="I7" s="7">
        <f t="shared" si="0"/>
        <v>3.5000000000000005E-3</v>
      </c>
      <c r="J7" s="7">
        <f t="shared" si="0"/>
        <v>3.5000000000000005E-4</v>
      </c>
      <c r="K7" s="7">
        <f t="shared" si="0"/>
        <v>3.5000000000000004E-5</v>
      </c>
      <c r="L7" s="7">
        <f t="shared" si="0"/>
        <v>3.5000000000000004E-6</v>
      </c>
      <c r="M7" s="7">
        <f t="shared" si="0"/>
        <v>3.5000000000000004E-7</v>
      </c>
      <c r="S7" s="7">
        <f t="shared" si="1"/>
        <v>3888.8888888499987</v>
      </c>
    </row>
    <row r="8" spans="1:34" x14ac:dyDescent="0.3">
      <c r="A8">
        <v>6</v>
      </c>
      <c r="B8" s="7">
        <v>1000000</v>
      </c>
      <c r="C8" s="7">
        <f>B8*0.35%</f>
        <v>3499.9999999999995</v>
      </c>
      <c r="D8" s="7">
        <f t="shared" si="0"/>
        <v>350</v>
      </c>
      <c r="E8" s="7">
        <f t="shared" si="0"/>
        <v>35</v>
      </c>
      <c r="F8" s="7">
        <f t="shared" si="0"/>
        <v>3.5</v>
      </c>
      <c r="G8" s="7">
        <f t="shared" si="0"/>
        <v>0.35000000000000003</v>
      </c>
      <c r="H8" s="7">
        <f t="shared" si="0"/>
        <v>3.5000000000000003E-2</v>
      </c>
      <c r="I8" s="7">
        <f t="shared" si="0"/>
        <v>3.5000000000000005E-3</v>
      </c>
      <c r="J8" s="7">
        <f t="shared" si="0"/>
        <v>3.5000000000000005E-4</v>
      </c>
      <c r="K8" s="7">
        <f t="shared" si="0"/>
        <v>3.5000000000000004E-5</v>
      </c>
      <c r="L8" s="7">
        <f t="shared" si="0"/>
        <v>3.5000000000000004E-6</v>
      </c>
      <c r="S8" s="7">
        <f t="shared" si="1"/>
        <v>3888.8888884999988</v>
      </c>
    </row>
    <row r="9" spans="1:34" x14ac:dyDescent="0.3">
      <c r="A9">
        <v>7</v>
      </c>
      <c r="B9" s="7">
        <v>1000000</v>
      </c>
      <c r="C9" s="7">
        <f>B9*0.35%</f>
        <v>3499.9999999999995</v>
      </c>
      <c r="D9" s="7">
        <f t="shared" si="0"/>
        <v>350</v>
      </c>
      <c r="E9" s="7">
        <f t="shared" si="0"/>
        <v>35</v>
      </c>
      <c r="F9" s="7">
        <f t="shared" si="0"/>
        <v>3.5</v>
      </c>
      <c r="G9" s="7">
        <f t="shared" si="0"/>
        <v>0.35000000000000003</v>
      </c>
      <c r="H9" s="7">
        <f t="shared" si="0"/>
        <v>3.5000000000000003E-2</v>
      </c>
      <c r="I9" s="7">
        <f t="shared" si="0"/>
        <v>3.5000000000000005E-3</v>
      </c>
      <c r="J9" s="7">
        <f t="shared" si="0"/>
        <v>3.5000000000000005E-4</v>
      </c>
      <c r="K9" s="7">
        <f t="shared" si="0"/>
        <v>3.5000000000000004E-5</v>
      </c>
      <c r="S9" s="7">
        <f t="shared" si="1"/>
        <v>3888.8888849999989</v>
      </c>
    </row>
    <row r="10" spans="1:34" x14ac:dyDescent="0.3">
      <c r="A10">
        <v>8</v>
      </c>
      <c r="B10" s="7">
        <v>1000000</v>
      </c>
      <c r="C10" s="7">
        <f>B10*0.35%</f>
        <v>3499.9999999999995</v>
      </c>
      <c r="D10" s="7">
        <f t="shared" si="0"/>
        <v>350</v>
      </c>
      <c r="E10" s="7">
        <f t="shared" si="0"/>
        <v>35</v>
      </c>
      <c r="F10" s="7">
        <f t="shared" si="0"/>
        <v>3.5</v>
      </c>
      <c r="G10" s="7">
        <f t="shared" si="0"/>
        <v>0.35000000000000003</v>
      </c>
      <c r="H10" s="7">
        <f t="shared" si="0"/>
        <v>3.5000000000000003E-2</v>
      </c>
      <c r="I10" s="7">
        <f t="shared" si="0"/>
        <v>3.5000000000000005E-3</v>
      </c>
      <c r="J10" s="7">
        <f t="shared" si="0"/>
        <v>3.5000000000000005E-4</v>
      </c>
      <c r="S10" s="7">
        <f t="shared" si="1"/>
        <v>3888.8888499999989</v>
      </c>
    </row>
    <row r="11" spans="1:34" x14ac:dyDescent="0.3">
      <c r="A11">
        <v>9</v>
      </c>
      <c r="B11" s="7">
        <v>1000000</v>
      </c>
      <c r="C11" s="7">
        <f>B11*0.35%</f>
        <v>3499.9999999999995</v>
      </c>
      <c r="D11" s="7">
        <f t="shared" si="0"/>
        <v>350</v>
      </c>
      <c r="E11" s="7">
        <f t="shared" si="0"/>
        <v>35</v>
      </c>
      <c r="F11" s="7">
        <f t="shared" si="0"/>
        <v>3.5</v>
      </c>
      <c r="G11" s="7">
        <f t="shared" si="0"/>
        <v>0.35000000000000003</v>
      </c>
      <c r="H11" s="7">
        <f t="shared" si="0"/>
        <v>3.5000000000000003E-2</v>
      </c>
      <c r="I11" s="7">
        <f t="shared" si="0"/>
        <v>3.5000000000000005E-3</v>
      </c>
      <c r="S11" s="7">
        <f t="shared" si="1"/>
        <v>3888.8884999999991</v>
      </c>
    </row>
    <row r="12" spans="1:34" x14ac:dyDescent="0.3">
      <c r="A12">
        <v>10</v>
      </c>
      <c r="B12" s="7">
        <v>1000000</v>
      </c>
      <c r="C12" s="7">
        <f>B12*0.35%</f>
        <v>3499.9999999999995</v>
      </c>
      <c r="D12" s="7">
        <f t="shared" si="0"/>
        <v>350</v>
      </c>
      <c r="E12" s="7">
        <f t="shared" si="0"/>
        <v>35</v>
      </c>
      <c r="F12" s="7">
        <f t="shared" si="0"/>
        <v>3.5</v>
      </c>
      <c r="G12" s="7">
        <f t="shared" si="0"/>
        <v>0.35000000000000003</v>
      </c>
      <c r="H12" s="7">
        <f t="shared" si="0"/>
        <v>3.5000000000000003E-2</v>
      </c>
      <c r="S12" s="7">
        <f t="shared" si="1"/>
        <v>3888.8849999999993</v>
      </c>
    </row>
    <row r="13" spans="1:34" x14ac:dyDescent="0.3">
      <c r="A13">
        <v>11</v>
      </c>
      <c r="B13" s="7">
        <v>1000000</v>
      </c>
      <c r="C13" s="7">
        <f>B13*0.35%</f>
        <v>3499.9999999999995</v>
      </c>
      <c r="D13" s="7">
        <f t="shared" si="0"/>
        <v>350</v>
      </c>
      <c r="E13" s="7">
        <f t="shared" si="0"/>
        <v>35</v>
      </c>
      <c r="F13" s="7">
        <f t="shared" si="0"/>
        <v>3.5</v>
      </c>
      <c r="G13" s="7">
        <f t="shared" si="0"/>
        <v>0.35000000000000003</v>
      </c>
      <c r="S13" s="7">
        <f t="shared" si="1"/>
        <v>3888.8499999999995</v>
      </c>
    </row>
    <row r="14" spans="1:34" x14ac:dyDescent="0.3">
      <c r="A14">
        <v>12</v>
      </c>
      <c r="B14" s="7">
        <v>1000000</v>
      </c>
      <c r="C14" s="7">
        <f>B14*0.35%</f>
        <v>3499.9999999999995</v>
      </c>
      <c r="D14" s="7">
        <f t="shared" si="0"/>
        <v>350</v>
      </c>
      <c r="E14" s="7">
        <f t="shared" si="0"/>
        <v>35</v>
      </c>
      <c r="F14" s="7">
        <f t="shared" si="0"/>
        <v>3.5</v>
      </c>
      <c r="S14" s="7">
        <f t="shared" si="1"/>
        <v>3888.4999999999995</v>
      </c>
    </row>
    <row r="15" spans="1:34" x14ac:dyDescent="0.3">
      <c r="A15">
        <v>13</v>
      </c>
      <c r="B15" s="7">
        <v>1000000</v>
      </c>
      <c r="C15" s="7">
        <f>B15*0.35%</f>
        <v>3499.9999999999995</v>
      </c>
      <c r="D15" s="7">
        <f t="shared" si="0"/>
        <v>350</v>
      </c>
      <c r="E15" s="7">
        <f t="shared" si="0"/>
        <v>35</v>
      </c>
      <c r="S15" s="7">
        <f t="shared" si="1"/>
        <v>3884.9999999999995</v>
      </c>
    </row>
    <row r="16" spans="1:34" x14ac:dyDescent="0.3">
      <c r="A16">
        <v>14</v>
      </c>
      <c r="B16" s="7">
        <v>1000000</v>
      </c>
      <c r="C16" s="7">
        <f>B16*0.35%</f>
        <v>3499.9999999999995</v>
      </c>
      <c r="D16" s="7">
        <f t="shared" si="0"/>
        <v>350</v>
      </c>
      <c r="S16" s="7">
        <f t="shared" si="1"/>
        <v>3849.9999999999995</v>
      </c>
    </row>
    <row r="17" spans="1:34" s="4" customFormat="1" x14ac:dyDescent="0.3">
      <c r="A17" s="4">
        <v>15</v>
      </c>
      <c r="B17" s="8">
        <v>1000000</v>
      </c>
      <c r="C17" s="8">
        <f>B17*0.35%</f>
        <v>3499.9999999999995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f t="shared" si="1"/>
        <v>3499.9999999999995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6"/>
      <c r="AF17" s="6"/>
      <c r="AG17" s="6"/>
      <c r="AH17" s="6"/>
    </row>
    <row r="18" spans="1:34" x14ac:dyDescent="0.3">
      <c r="A18" s="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34" x14ac:dyDescent="0.3">
      <c r="B19" s="7">
        <f>SUM(B2:B18)</f>
        <v>16000000</v>
      </c>
      <c r="C19" s="7">
        <f>SUM(C2:C18)</f>
        <v>55999.999999999993</v>
      </c>
      <c r="D19" s="7">
        <f>SUM(D2:D17)</f>
        <v>5250</v>
      </c>
      <c r="E19" s="7">
        <f>SUM(E2:E18)</f>
        <v>490</v>
      </c>
      <c r="F19" s="7">
        <f>SUM(F2:F18)</f>
        <v>45.5</v>
      </c>
      <c r="G19" s="7">
        <f>SUM(G2:G17)</f>
        <v>4.2</v>
      </c>
      <c r="H19" s="7">
        <f>SUM(H2:H18)</f>
        <v>0.38500000000000012</v>
      </c>
      <c r="I19" s="7">
        <f>SUM(I2:I18)</f>
        <v>3.5000000000000003E-2</v>
      </c>
      <c r="J19" s="7">
        <f>SUM(J2:J17)</f>
        <v>3.1500000000000005E-3</v>
      </c>
      <c r="K19" s="7">
        <f>SUM(K2:K17)</f>
        <v>2.8000000000000003E-4</v>
      </c>
      <c r="L19" s="7">
        <f>SUM(L2:L17)</f>
        <v>2.4500000000000003E-5</v>
      </c>
      <c r="M19" s="7">
        <f>SUM(M2:M17)</f>
        <v>2.1000000000000002E-6</v>
      </c>
      <c r="N19" s="7">
        <f>SUM(N2:N17)</f>
        <v>1.7500000000000002E-7</v>
      </c>
      <c r="O19" s="7">
        <f>SUM(O2:O5)</f>
        <v>1.4000000000000001E-8</v>
      </c>
      <c r="P19" s="7">
        <f>SUM(P2:P5)</f>
        <v>1.0500000000000001E-9</v>
      </c>
      <c r="Q19" s="7">
        <f>SUM(Q2:Q4)</f>
        <v>7.0000000000000017E-11</v>
      </c>
      <c r="R19" s="7">
        <f>SUM(R2)</f>
        <v>3.5000000000000008E-12</v>
      </c>
      <c r="S19" s="7">
        <f t="shared" si="1"/>
        <v>61790.123456790112</v>
      </c>
    </row>
    <row r="22" spans="1:34" s="10" customFormat="1" x14ac:dyDescent="0.3">
      <c r="B22" s="11"/>
      <c r="C22" s="11" t="s">
        <v>10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  <c r="AF22" s="13"/>
      <c r="AG22" s="13"/>
      <c r="AH22" s="13"/>
    </row>
    <row r="23" spans="1:34" x14ac:dyDescent="0.3">
      <c r="C23" s="7">
        <f>C19+D19+E19+F19+G19+H19+I19+J19+K19+L19+M19+N19+O19+P19+Q19+R19</f>
        <v>61790.123456790112</v>
      </c>
      <c r="S23" s="7">
        <f t="shared" si="1"/>
        <v>61790.123456790112</v>
      </c>
    </row>
    <row r="25" spans="1:34" s="10" customFormat="1" x14ac:dyDescent="0.3">
      <c r="B25" s="11" t="s">
        <v>0</v>
      </c>
      <c r="C25" s="11" t="s">
        <v>9</v>
      </c>
      <c r="D25" s="11" t="s">
        <v>2</v>
      </c>
      <c r="E25" s="11" t="s">
        <v>2</v>
      </c>
      <c r="F25" s="11" t="s">
        <v>2</v>
      </c>
      <c r="G25" s="11" t="s">
        <v>2</v>
      </c>
      <c r="H25" s="11" t="s">
        <v>2</v>
      </c>
      <c r="I25" s="11" t="s">
        <v>2</v>
      </c>
      <c r="J25" s="11" t="s">
        <v>2</v>
      </c>
      <c r="K25" s="11" t="s">
        <v>2</v>
      </c>
      <c r="L25" s="11" t="s">
        <v>2</v>
      </c>
      <c r="M25" s="11" t="s">
        <v>2</v>
      </c>
      <c r="N25" s="11" t="s">
        <v>2</v>
      </c>
      <c r="O25" s="11" t="s">
        <v>2</v>
      </c>
      <c r="P25" s="11" t="s">
        <v>2</v>
      </c>
      <c r="Q25" s="11" t="s">
        <v>2</v>
      </c>
      <c r="R25" s="11" t="s">
        <v>2</v>
      </c>
      <c r="S25" s="11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"/>
      <c r="AF25" s="13"/>
      <c r="AG25" s="13"/>
      <c r="AH25" s="13"/>
    </row>
    <row r="26" spans="1:34" x14ac:dyDescent="0.3">
      <c r="A26">
        <v>0</v>
      </c>
      <c r="B26" s="7">
        <v>1000000</v>
      </c>
      <c r="C26" s="7">
        <f>B27*10%</f>
        <v>100000</v>
      </c>
      <c r="D26" s="7">
        <f>C27*10%</f>
        <v>10000</v>
      </c>
      <c r="E26" s="7">
        <f>D27*10%</f>
        <v>1000</v>
      </c>
      <c r="F26" s="7">
        <f>E27*10%</f>
        <v>100</v>
      </c>
      <c r="G26" s="7">
        <f>F27*10%</f>
        <v>10</v>
      </c>
      <c r="H26" s="7">
        <f>G27*10%</f>
        <v>1</v>
      </c>
      <c r="I26" s="7">
        <f>H27*10%</f>
        <v>0.1</v>
      </c>
      <c r="J26" s="7">
        <f>I27*10%</f>
        <v>1.0000000000000002E-2</v>
      </c>
      <c r="K26" s="7">
        <f>J27*10%</f>
        <v>1.0000000000000002E-3</v>
      </c>
      <c r="L26" s="7">
        <f>K27*10%</f>
        <v>1.0000000000000003E-4</v>
      </c>
      <c r="M26" s="7">
        <f>L27*10%</f>
        <v>1.0000000000000004E-5</v>
      </c>
      <c r="N26" s="7">
        <f>M27*10%</f>
        <v>1.0000000000000004E-6</v>
      </c>
      <c r="O26" s="7">
        <f>N27*10%</f>
        <v>1.0000000000000005E-7</v>
      </c>
      <c r="P26" s="7">
        <f>O27*10%</f>
        <v>1.0000000000000005E-8</v>
      </c>
      <c r="Q26" s="7">
        <f>P27*10%</f>
        <v>1.0000000000000005E-9</v>
      </c>
      <c r="R26" s="7">
        <f>Q27*10%</f>
        <v>0</v>
      </c>
      <c r="S26" s="7">
        <f t="shared" si="1"/>
        <v>111111.11111111101</v>
      </c>
    </row>
    <row r="27" spans="1:34" x14ac:dyDescent="0.3">
      <c r="A27">
        <v>1</v>
      </c>
      <c r="B27" s="7">
        <v>1000000</v>
      </c>
      <c r="C27" s="7">
        <f>B28*10%</f>
        <v>100000</v>
      </c>
      <c r="D27" s="7">
        <f t="shared" ref="D27:P39" si="2">C28*10%</f>
        <v>10000</v>
      </c>
      <c r="E27" s="7">
        <f t="shared" si="2"/>
        <v>1000</v>
      </c>
      <c r="F27" s="7">
        <f t="shared" si="2"/>
        <v>100</v>
      </c>
      <c r="G27" s="7">
        <f t="shared" si="2"/>
        <v>10</v>
      </c>
      <c r="H27" s="7">
        <f t="shared" si="2"/>
        <v>1</v>
      </c>
      <c r="I27" s="7">
        <f t="shared" si="2"/>
        <v>0.1</v>
      </c>
      <c r="J27" s="7">
        <f t="shared" si="2"/>
        <v>1.0000000000000002E-2</v>
      </c>
      <c r="K27" s="7">
        <f t="shared" si="2"/>
        <v>1.0000000000000002E-3</v>
      </c>
      <c r="L27" s="7">
        <f t="shared" si="2"/>
        <v>1.0000000000000003E-4</v>
      </c>
      <c r="M27" s="7">
        <f t="shared" si="2"/>
        <v>1.0000000000000004E-5</v>
      </c>
      <c r="N27" s="7">
        <f t="shared" si="2"/>
        <v>1.0000000000000004E-6</v>
      </c>
      <c r="O27" s="7">
        <f t="shared" si="2"/>
        <v>1.0000000000000005E-7</v>
      </c>
      <c r="P27" s="7">
        <f t="shared" si="2"/>
        <v>1.0000000000000005E-8</v>
      </c>
      <c r="S27" s="7">
        <f t="shared" si="1"/>
        <v>111111.11111111</v>
      </c>
    </row>
    <row r="28" spans="1:34" x14ac:dyDescent="0.3">
      <c r="A28">
        <v>2</v>
      </c>
      <c r="B28" s="7">
        <v>1000000</v>
      </c>
      <c r="C28" s="7">
        <f>B29*10%</f>
        <v>100000</v>
      </c>
      <c r="D28" s="7">
        <f t="shared" si="2"/>
        <v>10000</v>
      </c>
      <c r="E28" s="7">
        <f t="shared" si="2"/>
        <v>1000</v>
      </c>
      <c r="F28" s="7">
        <f t="shared" si="2"/>
        <v>100</v>
      </c>
      <c r="G28" s="7">
        <f t="shared" si="2"/>
        <v>10</v>
      </c>
      <c r="H28" s="7">
        <f t="shared" si="2"/>
        <v>1</v>
      </c>
      <c r="I28" s="7">
        <f t="shared" si="2"/>
        <v>0.1</v>
      </c>
      <c r="J28" s="7">
        <f t="shared" si="2"/>
        <v>1.0000000000000002E-2</v>
      </c>
      <c r="K28" s="7">
        <f t="shared" si="2"/>
        <v>1.0000000000000002E-3</v>
      </c>
      <c r="L28" s="7">
        <f t="shared" si="2"/>
        <v>1.0000000000000003E-4</v>
      </c>
      <c r="M28" s="7">
        <f t="shared" si="2"/>
        <v>1.0000000000000004E-5</v>
      </c>
      <c r="N28" s="7">
        <f t="shared" si="2"/>
        <v>1.0000000000000004E-6</v>
      </c>
      <c r="O28" s="7">
        <f t="shared" si="2"/>
        <v>1.0000000000000005E-7</v>
      </c>
      <c r="S28" s="7">
        <f t="shared" si="1"/>
        <v>111111.11111110001</v>
      </c>
    </row>
    <row r="29" spans="1:34" x14ac:dyDescent="0.3">
      <c r="A29">
        <v>3</v>
      </c>
      <c r="B29" s="7">
        <v>1000000</v>
      </c>
      <c r="C29" s="7">
        <f>B30*10%</f>
        <v>100000</v>
      </c>
      <c r="D29" s="7">
        <f t="shared" si="2"/>
        <v>10000</v>
      </c>
      <c r="E29" s="7">
        <f t="shared" si="2"/>
        <v>1000</v>
      </c>
      <c r="F29" s="7">
        <f t="shared" si="2"/>
        <v>100</v>
      </c>
      <c r="G29" s="7">
        <f t="shared" si="2"/>
        <v>10</v>
      </c>
      <c r="H29" s="7">
        <f t="shared" si="2"/>
        <v>1</v>
      </c>
      <c r="I29" s="7">
        <f t="shared" si="2"/>
        <v>0.1</v>
      </c>
      <c r="J29" s="7">
        <f t="shared" si="2"/>
        <v>1.0000000000000002E-2</v>
      </c>
      <c r="K29" s="7">
        <f t="shared" si="2"/>
        <v>1.0000000000000002E-3</v>
      </c>
      <c r="L29" s="7">
        <f t="shared" si="2"/>
        <v>1.0000000000000003E-4</v>
      </c>
      <c r="M29" s="7">
        <f t="shared" si="2"/>
        <v>1.0000000000000004E-5</v>
      </c>
      <c r="N29" s="7">
        <f t="shared" si="2"/>
        <v>1.0000000000000004E-6</v>
      </c>
      <c r="S29" s="7">
        <f t="shared" si="1"/>
        <v>111111.11111100001</v>
      </c>
    </row>
    <row r="30" spans="1:34" x14ac:dyDescent="0.3">
      <c r="A30">
        <v>4</v>
      </c>
      <c r="B30" s="7">
        <v>1000000</v>
      </c>
      <c r="C30" s="7">
        <f>B31*10%</f>
        <v>100000</v>
      </c>
      <c r="D30" s="7">
        <f t="shared" si="2"/>
        <v>10000</v>
      </c>
      <c r="E30" s="7">
        <f t="shared" si="2"/>
        <v>1000</v>
      </c>
      <c r="F30" s="7">
        <f t="shared" si="2"/>
        <v>100</v>
      </c>
      <c r="G30" s="7">
        <f t="shared" si="2"/>
        <v>10</v>
      </c>
      <c r="H30" s="7">
        <f t="shared" si="2"/>
        <v>1</v>
      </c>
      <c r="I30" s="7">
        <f t="shared" si="2"/>
        <v>0.1</v>
      </c>
      <c r="J30" s="7">
        <f t="shared" si="2"/>
        <v>1.0000000000000002E-2</v>
      </c>
      <c r="K30" s="7">
        <f t="shared" si="2"/>
        <v>1.0000000000000002E-3</v>
      </c>
      <c r="L30" s="7">
        <f t="shared" si="2"/>
        <v>1.0000000000000003E-4</v>
      </c>
      <c r="M30" s="7">
        <f t="shared" si="2"/>
        <v>1.0000000000000004E-5</v>
      </c>
      <c r="S30" s="7">
        <f t="shared" si="1"/>
        <v>111111.11111000001</v>
      </c>
    </row>
    <row r="31" spans="1:34" x14ac:dyDescent="0.3">
      <c r="A31">
        <v>5</v>
      </c>
      <c r="B31" s="7">
        <v>1000000</v>
      </c>
      <c r="C31" s="7">
        <f>B32*10%</f>
        <v>100000</v>
      </c>
      <c r="D31" s="7">
        <f t="shared" si="2"/>
        <v>10000</v>
      </c>
      <c r="E31" s="7">
        <f t="shared" si="2"/>
        <v>1000</v>
      </c>
      <c r="F31" s="7">
        <f t="shared" si="2"/>
        <v>100</v>
      </c>
      <c r="G31" s="7">
        <f t="shared" si="2"/>
        <v>10</v>
      </c>
      <c r="H31" s="7">
        <f t="shared" si="2"/>
        <v>1</v>
      </c>
      <c r="I31" s="7">
        <f t="shared" si="2"/>
        <v>0.1</v>
      </c>
      <c r="J31" s="7">
        <f t="shared" si="2"/>
        <v>1.0000000000000002E-2</v>
      </c>
      <c r="K31" s="7">
        <f t="shared" si="2"/>
        <v>1.0000000000000002E-3</v>
      </c>
      <c r="L31" s="7">
        <f t="shared" si="2"/>
        <v>1.0000000000000003E-4</v>
      </c>
      <c r="S31" s="7">
        <f t="shared" si="1"/>
        <v>111111.11110000001</v>
      </c>
    </row>
    <row r="32" spans="1:34" x14ac:dyDescent="0.3">
      <c r="A32">
        <v>6</v>
      </c>
      <c r="B32" s="7">
        <v>1000000</v>
      </c>
      <c r="C32" s="7">
        <f>B33*10%</f>
        <v>100000</v>
      </c>
      <c r="D32" s="7">
        <f t="shared" si="2"/>
        <v>10000</v>
      </c>
      <c r="E32" s="7">
        <f t="shared" si="2"/>
        <v>1000</v>
      </c>
      <c r="F32" s="7">
        <f t="shared" si="2"/>
        <v>100</v>
      </c>
      <c r="G32" s="7">
        <f t="shared" si="2"/>
        <v>10</v>
      </c>
      <c r="H32" s="7">
        <f t="shared" si="2"/>
        <v>1</v>
      </c>
      <c r="I32" s="7">
        <f t="shared" si="2"/>
        <v>0.1</v>
      </c>
      <c r="J32" s="7">
        <f t="shared" si="2"/>
        <v>1.0000000000000002E-2</v>
      </c>
      <c r="K32" s="7">
        <f t="shared" si="2"/>
        <v>1.0000000000000002E-3</v>
      </c>
      <c r="S32" s="7">
        <f t="shared" si="1"/>
        <v>111111.111</v>
      </c>
    </row>
    <row r="33" spans="1:34" x14ac:dyDescent="0.3">
      <c r="A33">
        <v>7</v>
      </c>
      <c r="B33" s="7">
        <v>1000000</v>
      </c>
      <c r="C33" s="7">
        <f>B34*10%</f>
        <v>100000</v>
      </c>
      <c r="D33" s="7">
        <f t="shared" si="2"/>
        <v>10000</v>
      </c>
      <c r="E33" s="7">
        <f t="shared" si="2"/>
        <v>1000</v>
      </c>
      <c r="F33" s="7">
        <f t="shared" si="2"/>
        <v>100</v>
      </c>
      <c r="G33" s="7">
        <f t="shared" si="2"/>
        <v>10</v>
      </c>
      <c r="H33" s="7">
        <f t="shared" si="2"/>
        <v>1</v>
      </c>
      <c r="I33" s="7">
        <f t="shared" si="2"/>
        <v>0.1</v>
      </c>
      <c r="J33" s="7">
        <f t="shared" si="2"/>
        <v>1.0000000000000002E-2</v>
      </c>
      <c r="S33" s="7">
        <f t="shared" si="1"/>
        <v>111111.11</v>
      </c>
    </row>
    <row r="34" spans="1:34" x14ac:dyDescent="0.3">
      <c r="A34">
        <v>8</v>
      </c>
      <c r="B34" s="7">
        <v>1000000</v>
      </c>
      <c r="C34" s="7">
        <f>B35*10%</f>
        <v>100000</v>
      </c>
      <c r="D34" s="7">
        <f t="shared" si="2"/>
        <v>10000</v>
      </c>
      <c r="E34" s="7">
        <f t="shared" si="2"/>
        <v>1000</v>
      </c>
      <c r="F34" s="7">
        <f t="shared" si="2"/>
        <v>100</v>
      </c>
      <c r="G34" s="7">
        <f t="shared" si="2"/>
        <v>10</v>
      </c>
      <c r="H34" s="7">
        <f t="shared" si="2"/>
        <v>1</v>
      </c>
      <c r="I34" s="7">
        <f t="shared" si="2"/>
        <v>0.1</v>
      </c>
      <c r="S34" s="7">
        <f t="shared" si="1"/>
        <v>111111.1</v>
      </c>
    </row>
    <row r="35" spans="1:34" x14ac:dyDescent="0.3">
      <c r="A35">
        <v>9</v>
      </c>
      <c r="B35" s="7">
        <v>1000000</v>
      </c>
      <c r="C35" s="7">
        <f>B36*10%</f>
        <v>100000</v>
      </c>
      <c r="D35" s="7">
        <f t="shared" si="2"/>
        <v>10000</v>
      </c>
      <c r="E35" s="7">
        <f t="shared" si="2"/>
        <v>1000</v>
      </c>
      <c r="F35" s="7">
        <f t="shared" si="2"/>
        <v>100</v>
      </c>
      <c r="G35" s="7">
        <f t="shared" si="2"/>
        <v>10</v>
      </c>
      <c r="H35" s="7">
        <f t="shared" si="2"/>
        <v>1</v>
      </c>
      <c r="S35" s="7">
        <f t="shared" si="1"/>
        <v>111111</v>
      </c>
    </row>
    <row r="36" spans="1:34" x14ac:dyDescent="0.3">
      <c r="A36">
        <v>10</v>
      </c>
      <c r="B36" s="7">
        <v>1000000</v>
      </c>
      <c r="C36" s="7">
        <f>B37*10%</f>
        <v>100000</v>
      </c>
      <c r="D36" s="7">
        <f t="shared" si="2"/>
        <v>10000</v>
      </c>
      <c r="E36" s="7">
        <f t="shared" si="2"/>
        <v>1000</v>
      </c>
      <c r="F36" s="7">
        <f t="shared" si="2"/>
        <v>100</v>
      </c>
      <c r="G36" s="7">
        <f t="shared" si="2"/>
        <v>10</v>
      </c>
      <c r="S36" s="7">
        <f t="shared" si="1"/>
        <v>111110</v>
      </c>
    </row>
    <row r="37" spans="1:34" x14ac:dyDescent="0.3">
      <c r="A37">
        <v>11</v>
      </c>
      <c r="B37" s="7">
        <v>1000000</v>
      </c>
      <c r="C37" s="7">
        <f>B38*10%</f>
        <v>100000</v>
      </c>
      <c r="D37" s="7">
        <f t="shared" si="2"/>
        <v>10000</v>
      </c>
      <c r="E37" s="7">
        <f t="shared" si="2"/>
        <v>1000</v>
      </c>
      <c r="F37" s="7">
        <f t="shared" si="2"/>
        <v>100</v>
      </c>
      <c r="S37" s="7">
        <f t="shared" si="1"/>
        <v>111100</v>
      </c>
    </row>
    <row r="38" spans="1:34" x14ac:dyDescent="0.3">
      <c r="A38">
        <v>12</v>
      </c>
      <c r="B38" s="7">
        <v>1000000</v>
      </c>
      <c r="C38" s="7">
        <f>B39*10%</f>
        <v>100000</v>
      </c>
      <c r="D38" s="7">
        <f t="shared" si="2"/>
        <v>10000</v>
      </c>
      <c r="E38" s="7">
        <f t="shared" si="2"/>
        <v>1000</v>
      </c>
      <c r="S38" s="7">
        <f t="shared" si="1"/>
        <v>111000</v>
      </c>
    </row>
    <row r="39" spans="1:34" x14ac:dyDescent="0.3">
      <c r="A39">
        <v>13</v>
      </c>
      <c r="B39" s="7">
        <v>1000000</v>
      </c>
      <c r="C39" s="7">
        <f>B40*10%</f>
        <v>100000</v>
      </c>
      <c r="D39" s="7">
        <f t="shared" si="2"/>
        <v>10000</v>
      </c>
      <c r="S39" s="7">
        <f t="shared" si="1"/>
        <v>110000</v>
      </c>
    </row>
    <row r="40" spans="1:34" x14ac:dyDescent="0.3">
      <c r="A40">
        <v>14</v>
      </c>
      <c r="B40" s="7">
        <v>1000000</v>
      </c>
      <c r="C40" s="7">
        <f>B41*10%</f>
        <v>100000</v>
      </c>
      <c r="S40" s="7">
        <f t="shared" si="1"/>
        <v>100000</v>
      </c>
    </row>
    <row r="41" spans="1:34" s="4" customFormat="1" x14ac:dyDescent="0.3">
      <c r="A41" s="4">
        <v>15</v>
      </c>
      <c r="B41" s="8">
        <v>1000000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6"/>
      <c r="AF41" s="6"/>
      <c r="AG41" s="6"/>
      <c r="AH41" s="6"/>
    </row>
    <row r="42" spans="1:34" x14ac:dyDescent="0.3">
      <c r="A42" s="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34" x14ac:dyDescent="0.3">
      <c r="B43" s="7">
        <f>SUM(B26:B42)</f>
        <v>16000000</v>
      </c>
      <c r="C43" s="7">
        <f>SUM(C26:C42)</f>
        <v>1500000</v>
      </c>
      <c r="D43" s="7">
        <f>SUM(D26:D41)</f>
        <v>140000</v>
      </c>
      <c r="E43" s="7">
        <f>SUM(E26:E42)</f>
        <v>13000</v>
      </c>
      <c r="F43" s="7">
        <f>SUM(F26:F42)</f>
        <v>1200</v>
      </c>
      <c r="G43" s="7">
        <f>SUM(G26:G41)</f>
        <v>110</v>
      </c>
      <c r="H43" s="7">
        <f>SUM(H26:H42)</f>
        <v>10</v>
      </c>
      <c r="I43" s="7">
        <f>SUM(I26:I42)</f>
        <v>0.89999999999999991</v>
      </c>
      <c r="J43" s="7">
        <f>SUM(J26:J41)</f>
        <v>8.0000000000000016E-2</v>
      </c>
      <c r="K43" s="7">
        <f>SUM(K26:K41)</f>
        <v>7.000000000000001E-3</v>
      </c>
      <c r="L43" s="7">
        <f>SUM(L26:L41)</f>
        <v>6.0000000000000016E-4</v>
      </c>
      <c r="M43" s="7">
        <f>SUM(M26:M41)</f>
        <v>5.0000000000000023E-5</v>
      </c>
      <c r="N43" s="7">
        <f>SUM(N26:N41)</f>
        <v>4.0000000000000015E-6</v>
      </c>
      <c r="O43" s="7">
        <f>SUM(O26:O29)</f>
        <v>3.0000000000000015E-7</v>
      </c>
      <c r="P43" s="7">
        <f>SUM(P26:P29)</f>
        <v>2.000000000000001E-8</v>
      </c>
      <c r="Q43" s="7">
        <f>SUM(Q26:Q28)</f>
        <v>1.0000000000000005E-9</v>
      </c>
      <c r="R43" s="7">
        <f>SUM(R26)</f>
        <v>0</v>
      </c>
      <c r="S43" s="7">
        <f t="shared" si="1"/>
        <v>1654320.9876543207</v>
      </c>
    </row>
    <row r="46" spans="1:34" x14ac:dyDescent="0.3">
      <c r="C46" s="7" t="s">
        <v>5</v>
      </c>
    </row>
    <row r="47" spans="1:34" x14ac:dyDescent="0.3">
      <c r="C47" s="7">
        <f>C43+D43+E43+F43+G43+H43+I43+J43+K43+L43+M43+N43+O43+P43+Q43+R43</f>
        <v>1654320.9876543207</v>
      </c>
    </row>
    <row r="49" spans="2:34" s="10" customFormat="1" x14ac:dyDescent="0.3">
      <c r="B49" s="11" t="s">
        <v>4</v>
      </c>
      <c r="C49" s="11" t="s">
        <v>5</v>
      </c>
      <c r="D49" s="11" t="s">
        <v>6</v>
      </c>
      <c r="E49" s="11" t="s">
        <v>7</v>
      </c>
      <c r="F49" s="11" t="s">
        <v>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  <c r="AF49" s="13"/>
      <c r="AG49" s="13"/>
      <c r="AH49" s="13"/>
    </row>
    <row r="50" spans="2:34" x14ac:dyDescent="0.3">
      <c r="B50" s="7">
        <f>B43</f>
        <v>16000000</v>
      </c>
      <c r="C50" s="7">
        <f>C47</f>
        <v>1654320.9876543207</v>
      </c>
      <c r="D50" s="7">
        <f>B50-C50</f>
        <v>14345679.012345679</v>
      </c>
      <c r="E50" s="7">
        <f>C23</f>
        <v>61790.123456790112</v>
      </c>
      <c r="F50" s="14">
        <f>D50/E50</f>
        <v>232.16783216783222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JAE-UK PARK</dc:creator>
  <cp:lastModifiedBy>JAE-UK PARK</cp:lastModifiedBy>
  <dcterms:created xsi:type="dcterms:W3CDTF">2026-01-19T13:18:30Z</dcterms:created>
  <dcterms:modified xsi:type="dcterms:W3CDTF">2026-01-19T14:37:13Z</dcterms:modified>
</cp:coreProperties>
</file>