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b\Desktop\"/>
    </mc:Choice>
  </mc:AlternateContent>
  <xr:revisionPtr revIDLastSave="0" documentId="13_ncr:1_{3BC46705-1502-4188-9146-34A945A19A16}" xr6:coauthVersionLast="47" xr6:coauthVersionMax="47" xr10:uidLastSave="{00000000-0000-0000-0000-000000000000}"/>
  <bookViews>
    <workbookView xWindow="-108" yWindow="-108" windowWidth="23256" windowHeight="12456" xr2:uid="{8ED0A123-92FD-4222-8B62-20CF3C97F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J30" i="1"/>
  <c r="J28" i="1"/>
  <c r="L23" i="1"/>
  <c r="L28" i="1" s="1"/>
  <c r="K23" i="1"/>
  <c r="K28" i="1" s="1"/>
  <c r="J23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D46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I23" i="1"/>
  <c r="I28" i="1" s="1"/>
  <c r="I40" i="1"/>
  <c r="AE26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M24" i="1"/>
  <c r="AE6" i="1"/>
  <c r="AE20" i="1"/>
  <c r="AE21" i="1"/>
  <c r="AE22" i="1"/>
  <c r="AE5" i="1"/>
  <c r="G21" i="1"/>
  <c r="G22" i="1"/>
  <c r="G26" i="1" s="1"/>
  <c r="F23" i="1"/>
  <c r="G23" i="1" s="1"/>
  <c r="G9" i="1"/>
  <c r="G10" i="1"/>
  <c r="G6" i="1"/>
  <c r="G7" i="1"/>
  <c r="G8" i="1"/>
  <c r="G11" i="1"/>
  <c r="G18" i="1"/>
  <c r="G19" i="1"/>
  <c r="G20" i="1"/>
  <c r="G5" i="1"/>
  <c r="O28" i="1" l="1"/>
  <c r="N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D28" i="1"/>
  <c r="AC28" i="1"/>
  <c r="AE24" i="1"/>
  <c r="M28" i="1"/>
  <c r="AE23" i="1"/>
  <c r="L30" i="1" l="1"/>
  <c r="K36" i="1"/>
  <c r="K37" i="1"/>
  <c r="K35" i="1"/>
  <c r="K33" i="1"/>
  <c r="K34" i="1"/>
  <c r="K32" i="1"/>
  <c r="K38" i="1"/>
  <c r="AE28" i="1"/>
  <c r="K40" i="1" l="1"/>
  <c r="M30" i="1"/>
  <c r="L37" i="1"/>
  <c r="L38" i="1"/>
  <c r="L36" i="1"/>
  <c r="L34" i="1"/>
  <c r="L35" i="1"/>
  <c r="L32" i="1"/>
  <c r="L33" i="1"/>
  <c r="L40" i="1" l="1"/>
  <c r="N30" i="1"/>
  <c r="M37" i="1"/>
  <c r="M33" i="1"/>
  <c r="M32" i="1"/>
  <c r="M38" i="1"/>
  <c r="M36" i="1"/>
  <c r="M34" i="1"/>
  <c r="M35" i="1"/>
  <c r="M40" i="1" l="1"/>
  <c r="O30" i="1"/>
  <c r="N37" i="1"/>
  <c r="N33" i="1"/>
  <c r="N36" i="1"/>
  <c r="N32" i="1"/>
  <c r="N38" i="1"/>
  <c r="N34" i="1"/>
  <c r="N35" i="1"/>
  <c r="N40" i="1" l="1"/>
  <c r="P30" i="1"/>
  <c r="O38" i="1"/>
  <c r="O36" i="1"/>
  <c r="O34" i="1"/>
  <c r="O35" i="1"/>
  <c r="O37" i="1"/>
  <c r="O33" i="1"/>
  <c r="O32" i="1"/>
  <c r="O40" i="1" l="1"/>
  <c r="Q30" i="1"/>
  <c r="P35" i="1"/>
  <c r="P32" i="1"/>
  <c r="P38" i="1"/>
  <c r="P36" i="1"/>
  <c r="P37" i="1"/>
  <c r="P33" i="1"/>
  <c r="P34" i="1"/>
  <c r="P40" i="1" l="1"/>
  <c r="R30" i="1"/>
  <c r="Q38" i="1"/>
  <c r="Q36" i="1"/>
  <c r="Q34" i="1"/>
  <c r="Q35" i="1"/>
  <c r="Q33" i="1"/>
  <c r="Q37" i="1"/>
  <c r="Q32" i="1"/>
  <c r="Q40" i="1" l="1"/>
  <c r="S30" i="1"/>
  <c r="R38" i="1"/>
  <c r="R36" i="1"/>
  <c r="R34" i="1"/>
  <c r="R33" i="1"/>
  <c r="R32" i="1"/>
  <c r="R35" i="1"/>
  <c r="R37" i="1"/>
  <c r="R40" i="1" l="1"/>
  <c r="T30" i="1"/>
  <c r="S32" i="1"/>
  <c r="S37" i="1"/>
  <c r="S33" i="1"/>
  <c r="S38" i="1"/>
  <c r="S36" i="1"/>
  <c r="S34" i="1"/>
  <c r="S35" i="1"/>
  <c r="S40" i="1" l="1"/>
  <c r="U30" i="1"/>
  <c r="T32" i="1"/>
  <c r="T37" i="1"/>
  <c r="T33" i="1"/>
  <c r="T38" i="1"/>
  <c r="T36" i="1"/>
  <c r="T34" i="1"/>
  <c r="T35" i="1"/>
  <c r="T40" i="1" l="1"/>
  <c r="V30" i="1"/>
  <c r="U37" i="1"/>
  <c r="U33" i="1"/>
  <c r="U38" i="1"/>
  <c r="U35" i="1"/>
  <c r="U32" i="1"/>
  <c r="U36" i="1"/>
  <c r="U34" i="1"/>
  <c r="U40" i="1" l="1"/>
  <c r="W30" i="1"/>
  <c r="V37" i="1"/>
  <c r="V33" i="1"/>
  <c r="V38" i="1"/>
  <c r="V34" i="1"/>
  <c r="V32" i="1"/>
  <c r="V36" i="1"/>
  <c r="V35" i="1"/>
  <c r="V40" i="1" l="1"/>
  <c r="X30" i="1"/>
  <c r="W32" i="1"/>
  <c r="W34" i="1"/>
  <c r="W35" i="1"/>
  <c r="W37" i="1"/>
  <c r="W33" i="1"/>
  <c r="W38" i="1"/>
  <c r="W36" i="1"/>
  <c r="W40" i="1" l="1"/>
  <c r="X35" i="1"/>
  <c r="X34" i="1"/>
  <c r="X37" i="1"/>
  <c r="X33" i="1"/>
  <c r="X32" i="1"/>
  <c r="X38" i="1"/>
  <c r="X36" i="1"/>
  <c r="Y30" i="1"/>
  <c r="X40" i="1" l="1"/>
  <c r="Z30" i="1"/>
  <c r="Y38" i="1"/>
  <c r="Y36" i="1"/>
  <c r="Y34" i="1"/>
  <c r="Y35" i="1"/>
  <c r="Y32" i="1"/>
  <c r="Y37" i="1"/>
  <c r="Y33" i="1"/>
  <c r="Y40" i="1" l="1"/>
  <c r="AA30" i="1"/>
  <c r="Z38" i="1"/>
  <c r="Z36" i="1"/>
  <c r="Z34" i="1"/>
  <c r="Z37" i="1"/>
  <c r="Z33" i="1"/>
  <c r="Z35" i="1"/>
  <c r="Z32" i="1"/>
  <c r="Z40" i="1" l="1"/>
  <c r="AB30" i="1"/>
  <c r="AA35" i="1"/>
  <c r="AA32" i="1"/>
  <c r="AA33" i="1"/>
  <c r="AA38" i="1"/>
  <c r="AA36" i="1"/>
  <c r="AA34" i="1"/>
  <c r="AA37" i="1"/>
  <c r="AA40" i="1" l="1"/>
  <c r="AC30" i="1"/>
  <c r="AB35" i="1"/>
  <c r="AB32" i="1"/>
  <c r="AB38" i="1"/>
  <c r="AB36" i="1"/>
  <c r="AB34" i="1"/>
  <c r="AB37" i="1"/>
  <c r="AB33" i="1"/>
  <c r="AB40" i="1" l="1"/>
  <c r="AD30" i="1"/>
  <c r="AC37" i="1"/>
  <c r="AC33" i="1"/>
  <c r="AC35" i="1"/>
  <c r="AC32" i="1"/>
  <c r="AC38" i="1"/>
  <c r="AC36" i="1"/>
  <c r="AC34" i="1"/>
  <c r="AC40" i="1" l="1"/>
  <c r="AD37" i="1"/>
  <c r="AD33" i="1"/>
  <c r="AD36" i="1"/>
  <c r="AD35" i="1"/>
  <c r="AD32" i="1"/>
  <c r="AD38" i="1"/>
  <c r="AD34" i="1"/>
  <c r="AD40" i="1" l="1"/>
</calcChain>
</file>

<file path=xl/sharedStrings.xml><?xml version="1.0" encoding="utf-8"?>
<sst xmlns="http://schemas.openxmlformats.org/spreadsheetml/2006/main" count="48" uniqueCount="48">
  <si>
    <t>구분</t>
    <phoneticPr fontId="2" type="noConversion"/>
  </si>
  <si>
    <t>내역</t>
    <phoneticPr fontId="2" type="noConversion"/>
  </si>
  <si>
    <t>오프쇼어 코어 인프라 (Brain)</t>
  </si>
  <si>
    <t>상세내역</t>
    <phoneticPr fontId="2" type="noConversion"/>
  </si>
  <si>
    <t>보안 및 정산 로직 커스텀 설계</t>
  </si>
  <si>
    <t>캄보디아 현지 거점 및 공사 (Limb)</t>
  </si>
  <si>
    <t>네트워크 인입 및 오피스 전용 보안 공사</t>
  </si>
  <si>
    <t>익명 결제망 및 디지털 세탁 세팅</t>
    <phoneticPr fontId="2" type="noConversion"/>
  </si>
  <si>
    <t>운영 워크스테이션 및 보안 장비</t>
  </si>
  <si>
    <t>산업용 전력 보완 설비 (UPS)</t>
  </si>
  <si>
    <t>월간 유지 비용</t>
    <phoneticPr fontId="2" type="noConversion"/>
  </si>
  <si>
    <t>인적 자원 및 리스크 프리미엄 (Labor)</t>
  </si>
  <si>
    <t>운영 및 보안 SE (글로벌 타겟)</t>
  </si>
  <si>
    <t>인프라 및 거점 유지</t>
  </si>
  <si>
    <t>불렛프루프 서버 및 CDN 유지비</t>
  </si>
  <si>
    <t>오피스 임대료 및 유틸리티</t>
  </si>
  <si>
    <t>캄보디아 전용 회선 및 보안 구독</t>
  </si>
  <si>
    <t>나라별 영업 지원</t>
    <phoneticPr fontId="2" type="noConversion"/>
  </si>
  <si>
    <t>영업(지원) 비용</t>
    <phoneticPr fontId="2" type="noConversion"/>
  </si>
  <si>
    <t>비용($)</t>
    <phoneticPr fontId="2" type="noConversion"/>
  </si>
  <si>
    <r>
      <t>비용(</t>
    </r>
    <r>
      <rPr>
        <b/>
        <sz val="11"/>
        <color theme="0"/>
        <rFont val="맑은 고딕"/>
        <family val="3"/>
        <charset val="129"/>
      </rPr>
      <t>\</t>
    </r>
    <r>
      <rPr>
        <b/>
        <sz val="11"/>
        <color theme="0"/>
        <rFont val="맑은 고딕"/>
        <family val="3"/>
        <charset val="129"/>
        <scheme val="minor"/>
      </rPr>
      <t>)</t>
    </r>
    <phoneticPr fontId="2" type="noConversion"/>
  </si>
  <si>
    <t>분류</t>
    <phoneticPr fontId="2" type="noConversion"/>
  </si>
  <si>
    <t>Total</t>
    <phoneticPr fontId="2" type="noConversion"/>
  </si>
  <si>
    <t>COST</t>
    <phoneticPr fontId="2" type="noConversion"/>
  </si>
  <si>
    <t>(초기 투자자금)</t>
    <phoneticPr fontId="2" type="noConversion"/>
  </si>
  <si>
    <t>Longrise_전체 비용 및 예상 수익_260318</t>
    <phoneticPr fontId="2" type="noConversion"/>
  </si>
  <si>
    <t>매출액(투자금 10억 포함)</t>
    <phoneticPr fontId="2" type="noConversion"/>
  </si>
  <si>
    <t>합계</t>
    <phoneticPr fontId="2" type="noConversion"/>
  </si>
  <si>
    <t>Sales Insentive(영업 수당 및 직급 수당)</t>
    <phoneticPr fontId="2" type="noConversion"/>
  </si>
  <si>
    <t>매월 합계</t>
    <phoneticPr fontId="2" type="noConversion"/>
  </si>
  <si>
    <t>전체 순수익(투자금 포함)</t>
    <phoneticPr fontId="2" type="noConversion"/>
  </si>
  <si>
    <t>개발자</t>
    <phoneticPr fontId="2" type="noConversion"/>
  </si>
  <si>
    <t>현지CS팀</t>
    <phoneticPr fontId="2" type="noConversion"/>
  </si>
  <si>
    <t>총괄</t>
    <phoneticPr fontId="2" type="noConversion"/>
  </si>
  <si>
    <t>GLI</t>
    <phoneticPr fontId="2" type="noConversion"/>
  </si>
  <si>
    <t>외부투자자(5억)</t>
    <phoneticPr fontId="2" type="noConversion"/>
  </si>
  <si>
    <t>내부투자자(5억) 3,4월 투자만 인정</t>
    <phoneticPr fontId="2" type="noConversion"/>
  </si>
  <si>
    <t>기획, 운영팀</t>
    <phoneticPr fontId="2" type="noConversion"/>
  </si>
  <si>
    <t>API 및 정산 전용 서버 (3노드 분산)</t>
    <phoneticPr fontId="2" type="noConversion"/>
  </si>
  <si>
    <t>나라별 영업 리더 계정($1,000*20개*20명)</t>
    <phoneticPr fontId="2" type="noConversion"/>
  </si>
  <si>
    <t>나라별 센터 구축 및 운영(1년 기준)</t>
    <phoneticPr fontId="2" type="noConversion"/>
  </si>
  <si>
    <t>기획자 1명</t>
    <phoneticPr fontId="2" type="noConversion"/>
  </si>
  <si>
    <t>개발자 1명</t>
    <phoneticPr fontId="2" type="noConversion"/>
  </si>
  <si>
    <t>VVIP 전담 CS 2명</t>
    <phoneticPr fontId="2" type="noConversion"/>
  </si>
  <si>
    <t>영업 관리 1명</t>
    <phoneticPr fontId="2" type="noConversion"/>
  </si>
  <si>
    <t>운영 1명</t>
    <phoneticPr fontId="2" type="noConversion"/>
  </si>
  <si>
    <t xml:space="preserve">시스템 유지보수 비용 </t>
    <phoneticPr fontId="2" type="noConversion"/>
  </si>
  <si>
    <t>시설 구축비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</si>
</sst>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[$$-409]* #,##0_ ;_-[$$-409]* \-#,##0\ ;_-[$$-409]* &quot;-&quot;??_ ;_-@_ "/>
    <numFmt numFmtId="177" formatCode="_-[$₩-412]* #,##0_-;\-[$₩-412]* #,##0_-;_-[$₩-412]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4" fillId="0" borderId="1" xfId="1" applyNumberFormat="1" applyFont="1" applyBorder="1">
      <alignment vertical="center"/>
    </xf>
    <xf numFmtId="0" fontId="8" fillId="0" borderId="0" xfId="0" applyFont="1">
      <alignment vertical="center"/>
    </xf>
    <xf numFmtId="177" fontId="0" fillId="0" borderId="0" xfId="0" applyNumberFormat="1">
      <alignment vertical="center"/>
    </xf>
    <xf numFmtId="0" fontId="6" fillId="4" borderId="0" xfId="0" applyFont="1" applyFill="1" applyAlignment="1">
      <alignment horizontal="center" vertical="center"/>
    </xf>
    <xf numFmtId="177" fontId="7" fillId="0" borderId="1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41" fontId="4" fillId="0" borderId="1" xfId="1" applyFont="1" applyBorder="1">
      <alignment vertical="center"/>
    </xf>
    <xf numFmtId="41" fontId="4" fillId="0" borderId="5" xfId="1" applyFont="1" applyBorder="1">
      <alignment vertical="center"/>
    </xf>
    <xf numFmtId="41" fontId="0" fillId="0" borderId="1" xfId="0" applyNumberFormat="1" applyBorder="1">
      <alignment vertical="center"/>
    </xf>
    <xf numFmtId="0" fontId="3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41" fontId="5" fillId="0" borderId="1" xfId="0" applyNumberFormat="1" applyFont="1" applyBorder="1">
      <alignment vertical="center"/>
    </xf>
    <xf numFmtId="9" fontId="5" fillId="0" borderId="0" xfId="2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41" fontId="5" fillId="7" borderId="1" xfId="0" applyNumberFormat="1" applyFont="1" applyFill="1" applyBorder="1">
      <alignment vertical="center"/>
    </xf>
    <xf numFmtId="41" fontId="5" fillId="5" borderId="3" xfId="1" applyFont="1" applyFill="1" applyBorder="1">
      <alignment vertical="center"/>
    </xf>
    <xf numFmtId="0" fontId="11" fillId="0" borderId="3" xfId="0" applyFont="1" applyBorder="1">
      <alignment vertical="center"/>
    </xf>
    <xf numFmtId="0" fontId="4" fillId="0" borderId="3" xfId="0" applyFont="1" applyBorder="1">
      <alignment vertical="center"/>
    </xf>
    <xf numFmtId="41" fontId="4" fillId="0" borderId="3" xfId="1" applyFont="1" applyBorder="1">
      <alignment vertical="center"/>
    </xf>
    <xf numFmtId="41" fontId="4" fillId="0" borderId="3" xfId="1" applyFont="1" applyFill="1" applyBorder="1">
      <alignment vertical="center"/>
    </xf>
    <xf numFmtId="41" fontId="12" fillId="0" borderId="3" xfId="1" applyFont="1" applyBorder="1">
      <alignment vertical="center"/>
    </xf>
    <xf numFmtId="41" fontId="5" fillId="0" borderId="3" xfId="0" applyNumberFormat="1" applyFont="1" applyBorder="1">
      <alignment vertical="center"/>
    </xf>
    <xf numFmtId="177" fontId="7" fillId="0" borderId="0" xfId="0" applyNumberFormat="1" applyFont="1">
      <alignment vertical="center"/>
    </xf>
    <xf numFmtId="176" fontId="0" fillId="0" borderId="8" xfId="1" applyNumberFormat="1" applyFont="1" applyBorder="1">
      <alignment vertical="center"/>
    </xf>
    <xf numFmtId="41" fontId="7" fillId="0" borderId="8" xfId="1" applyFont="1" applyBorder="1">
      <alignment vertical="center"/>
    </xf>
    <xf numFmtId="41" fontId="5" fillId="0" borderId="8" xfId="0" applyNumberFormat="1" applyFont="1" applyBorder="1">
      <alignment vertical="center"/>
    </xf>
    <xf numFmtId="177" fontId="7" fillId="0" borderId="10" xfId="0" applyNumberFormat="1" applyFont="1" applyBorder="1">
      <alignment vertical="center"/>
    </xf>
    <xf numFmtId="176" fontId="7" fillId="0" borderId="8" xfId="1" applyNumberFormat="1" applyFont="1" applyBorder="1">
      <alignment vertical="center"/>
    </xf>
    <xf numFmtId="0" fontId="0" fillId="0" borderId="10" xfId="0" applyBorder="1" applyAlignment="1">
      <alignment horizontal="center" vertical="center"/>
    </xf>
    <xf numFmtId="176" fontId="4" fillId="0" borderId="10" xfId="1" applyNumberFormat="1" applyFont="1" applyBorder="1">
      <alignment vertical="center"/>
    </xf>
    <xf numFmtId="41" fontId="4" fillId="0" borderId="10" xfId="1" applyFont="1" applyBorder="1">
      <alignment vertical="center"/>
    </xf>
    <xf numFmtId="41" fontId="4" fillId="0" borderId="9" xfId="1" applyFont="1" applyBorder="1">
      <alignment vertical="center"/>
    </xf>
    <xf numFmtId="41" fontId="0" fillId="0" borderId="10" xfId="0" applyNumberFormat="1" applyBorder="1">
      <alignment vertical="center"/>
    </xf>
    <xf numFmtId="177" fontId="7" fillId="0" borderId="11" xfId="0" applyNumberFormat="1" applyFont="1" applyBorder="1">
      <alignment vertical="center"/>
    </xf>
    <xf numFmtId="0" fontId="0" fillId="0" borderId="11" xfId="0" applyBorder="1">
      <alignment vertical="center"/>
    </xf>
    <xf numFmtId="41" fontId="4" fillId="0" borderId="13" xfId="1" applyFont="1" applyFill="1" applyBorder="1">
      <alignment vertical="center"/>
    </xf>
    <xf numFmtId="0" fontId="0" fillId="0" borderId="13" xfId="0" applyBorder="1">
      <alignment vertical="center"/>
    </xf>
    <xf numFmtId="0" fontId="3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76" fontId="0" fillId="11" borderId="0" xfId="1" applyNumberFormat="1" applyFont="1" applyFill="1" applyBorder="1">
      <alignment vertical="center"/>
    </xf>
    <xf numFmtId="0" fontId="0" fillId="11" borderId="0" xfId="0" applyFill="1">
      <alignment vertical="center"/>
    </xf>
    <xf numFmtId="0" fontId="0" fillId="11" borderId="14" xfId="0" applyFill="1" applyBorder="1">
      <alignment vertical="center"/>
    </xf>
    <xf numFmtId="41" fontId="7" fillId="11" borderId="4" xfId="1" applyFont="1" applyFill="1" applyBorder="1">
      <alignment vertical="center"/>
    </xf>
    <xf numFmtId="41" fontId="5" fillId="11" borderId="4" xfId="0" applyNumberFormat="1" applyFont="1" applyFill="1" applyBorder="1">
      <alignment vertical="center"/>
    </xf>
    <xf numFmtId="9" fontId="0" fillId="0" borderId="0" xfId="2" applyFont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9" fontId="0" fillId="0" borderId="0" xfId="2" applyFont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5" fillId="0" borderId="5" xfId="0" applyNumberFormat="1" applyFont="1" applyBorder="1" applyAlignment="1">
      <alignment horizontal="center" vertical="center"/>
    </xf>
    <xf numFmtId="41" fontId="5" fillId="0" borderId="6" xfId="0" applyNumberFormat="1" applyFont="1" applyBorder="1" applyAlignment="1">
      <alignment horizontal="center" vertical="center"/>
    </xf>
    <xf numFmtId="41" fontId="5" fillId="0" borderId="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EFCA-A944-41F9-9928-0E5E89EC2B39}">
  <dimension ref="B1:AE46"/>
  <sheetViews>
    <sheetView tabSelected="1"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K27" sqref="K27:AE27"/>
    </sheetView>
  </sheetViews>
  <sheetFormatPr defaultRowHeight="17.399999999999999" x14ac:dyDescent="0.4"/>
  <cols>
    <col min="1" max="1" width="0.8984375" customWidth="1"/>
    <col min="2" max="2" width="9.69921875" customWidth="1"/>
    <col min="3" max="3" width="15.69921875" customWidth="1"/>
    <col min="4" max="5" width="40.69921875" customWidth="1"/>
    <col min="6" max="6" width="15.69921875" hidden="1" customWidth="1"/>
    <col min="7" max="7" width="16.09765625" hidden="1" customWidth="1"/>
    <col min="8" max="8" width="2.796875" customWidth="1"/>
    <col min="9" max="29" width="14.69921875" customWidth="1"/>
    <col min="30" max="31" width="15.69921875" customWidth="1"/>
  </cols>
  <sheetData>
    <row r="1" spans="2:31" ht="3" customHeight="1" x14ac:dyDescent="0.4"/>
    <row r="2" spans="2:31" x14ac:dyDescent="0.4">
      <c r="B2" t="s">
        <v>25</v>
      </c>
      <c r="G2" s="5">
        <v>1450</v>
      </c>
      <c r="H2" s="5"/>
      <c r="M2" s="16">
        <v>0.5</v>
      </c>
    </row>
    <row r="3" spans="2:31" ht="6" customHeight="1" x14ac:dyDescent="0.4"/>
    <row r="4" spans="2:31" ht="25.05" customHeight="1" x14ac:dyDescent="0.4">
      <c r="B4" s="2" t="s">
        <v>21</v>
      </c>
      <c r="C4" s="2" t="s">
        <v>0</v>
      </c>
      <c r="D4" s="2" t="s">
        <v>1</v>
      </c>
      <c r="E4" s="2" t="s">
        <v>3</v>
      </c>
      <c r="F4" s="2" t="s">
        <v>19</v>
      </c>
      <c r="G4" s="2" t="s">
        <v>20</v>
      </c>
      <c r="H4" s="9"/>
      <c r="I4" s="7">
        <v>202603</v>
      </c>
      <c r="J4" s="7">
        <v>202604</v>
      </c>
      <c r="K4" s="7">
        <v>202605</v>
      </c>
      <c r="L4" s="7">
        <v>202606</v>
      </c>
      <c r="M4" s="7">
        <v>202607</v>
      </c>
      <c r="N4" s="7">
        <v>202608</v>
      </c>
      <c r="O4" s="7">
        <v>202609</v>
      </c>
      <c r="P4" s="7">
        <v>202610</v>
      </c>
      <c r="Q4" s="7">
        <v>202611</v>
      </c>
      <c r="R4" s="7">
        <v>202612</v>
      </c>
      <c r="S4" s="7">
        <v>202701</v>
      </c>
      <c r="T4" s="7">
        <v>202702</v>
      </c>
      <c r="U4" s="7">
        <v>202703</v>
      </c>
      <c r="V4" s="7">
        <v>202704</v>
      </c>
      <c r="W4" s="7">
        <v>202705</v>
      </c>
      <c r="X4" s="7">
        <v>202706</v>
      </c>
      <c r="Y4" s="7">
        <v>202707</v>
      </c>
      <c r="Z4" s="7">
        <v>202708</v>
      </c>
      <c r="AA4" s="7">
        <v>202709</v>
      </c>
      <c r="AB4" s="7">
        <v>202710</v>
      </c>
      <c r="AC4" s="7">
        <v>202711</v>
      </c>
      <c r="AD4" s="7">
        <v>202712</v>
      </c>
      <c r="AE4" s="14" t="s">
        <v>22</v>
      </c>
    </row>
    <row r="5" spans="2:31" ht="19.95" customHeight="1" x14ac:dyDescent="0.4">
      <c r="B5" s="59" t="s">
        <v>23</v>
      </c>
      <c r="C5" s="58" t="s">
        <v>47</v>
      </c>
      <c r="D5" s="62" t="s">
        <v>2</v>
      </c>
      <c r="E5" s="3" t="s">
        <v>38</v>
      </c>
      <c r="F5" s="4">
        <v>4500</v>
      </c>
      <c r="G5" s="8">
        <f>F5*$G$2</f>
        <v>6525000</v>
      </c>
      <c r="H5" s="28"/>
      <c r="I5" s="10">
        <v>6525000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1"/>
      <c r="AE5" s="12">
        <f t="shared" ref="AE5:AE24" si="0">SUM(I5:AD5)</f>
        <v>6525000</v>
      </c>
    </row>
    <row r="6" spans="2:31" ht="19.95" customHeight="1" x14ac:dyDescent="0.4">
      <c r="B6" s="59"/>
      <c r="C6" s="58"/>
      <c r="D6" s="62"/>
      <c r="E6" s="3" t="s">
        <v>4</v>
      </c>
      <c r="F6" s="4">
        <v>20000</v>
      </c>
      <c r="G6" s="8">
        <f t="shared" ref="G6:G23" si="1">F6*$G$2</f>
        <v>29000000</v>
      </c>
      <c r="H6" s="28"/>
      <c r="I6" s="10">
        <v>29000000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2">
        <f t="shared" si="0"/>
        <v>29000000</v>
      </c>
    </row>
    <row r="7" spans="2:31" ht="19.95" customHeight="1" x14ac:dyDescent="0.4">
      <c r="B7" s="59"/>
      <c r="C7" s="58"/>
      <c r="D7" s="62"/>
      <c r="E7" s="3" t="s">
        <v>7</v>
      </c>
      <c r="F7" s="4">
        <v>5000</v>
      </c>
      <c r="G7" s="8">
        <f t="shared" si="1"/>
        <v>7250000</v>
      </c>
      <c r="H7" s="28"/>
      <c r="I7" s="10">
        <v>7250000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2">
        <f t="shared" si="0"/>
        <v>7250000</v>
      </c>
    </row>
    <row r="8" spans="2:31" ht="19.95" customHeight="1" x14ac:dyDescent="0.4">
      <c r="B8" s="59"/>
      <c r="C8" s="58"/>
      <c r="D8" s="62" t="s">
        <v>5</v>
      </c>
      <c r="E8" s="3" t="s">
        <v>6</v>
      </c>
      <c r="F8" s="4">
        <v>6000</v>
      </c>
      <c r="G8" s="8">
        <f t="shared" si="1"/>
        <v>8700000</v>
      </c>
      <c r="H8" s="28"/>
      <c r="I8" s="10">
        <v>8700000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2">
        <f t="shared" si="0"/>
        <v>8700000</v>
      </c>
    </row>
    <row r="9" spans="2:31" ht="19.95" customHeight="1" x14ac:dyDescent="0.4">
      <c r="B9" s="59"/>
      <c r="C9" s="58"/>
      <c r="D9" s="62"/>
      <c r="E9" s="3" t="s">
        <v>8</v>
      </c>
      <c r="F9" s="4">
        <v>18000</v>
      </c>
      <c r="G9" s="8">
        <f>F9*$G$2</f>
        <v>26100000</v>
      </c>
      <c r="H9" s="28"/>
      <c r="I9" s="10">
        <v>26100000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2">
        <f t="shared" si="0"/>
        <v>26100000</v>
      </c>
    </row>
    <row r="10" spans="2:31" ht="19.95" customHeight="1" x14ac:dyDescent="0.4">
      <c r="B10" s="59"/>
      <c r="C10" s="58"/>
      <c r="D10" s="62"/>
      <c r="E10" s="3" t="s">
        <v>9</v>
      </c>
      <c r="F10" s="4">
        <v>6000</v>
      </c>
      <c r="G10" s="8">
        <f t="shared" si="1"/>
        <v>8700000</v>
      </c>
      <c r="H10" s="28"/>
      <c r="I10" s="10">
        <v>8700000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2">
        <f t="shared" si="0"/>
        <v>8700000</v>
      </c>
    </row>
    <row r="11" spans="2:31" ht="19.95" customHeight="1" x14ac:dyDescent="0.4">
      <c r="B11" s="59"/>
      <c r="C11" s="63" t="s">
        <v>10</v>
      </c>
      <c r="D11" s="63" t="s">
        <v>11</v>
      </c>
      <c r="E11" s="3" t="s">
        <v>12</v>
      </c>
      <c r="F11" s="4">
        <v>6000</v>
      </c>
      <c r="G11" s="8">
        <f t="shared" si="1"/>
        <v>8700000</v>
      </c>
      <c r="H11" s="28"/>
      <c r="I11" s="10">
        <v>5000000</v>
      </c>
      <c r="J11" s="10">
        <v>5000000</v>
      </c>
      <c r="K11" s="10">
        <v>5000000</v>
      </c>
      <c r="L11" s="10">
        <v>5000000</v>
      </c>
      <c r="M11" s="10">
        <v>5000000</v>
      </c>
      <c r="N11" s="10">
        <v>5000000</v>
      </c>
      <c r="O11" s="10">
        <v>5000000</v>
      </c>
      <c r="P11" s="10">
        <v>5000000</v>
      </c>
      <c r="Q11" s="10">
        <v>5000000</v>
      </c>
      <c r="R11" s="10">
        <v>5000000</v>
      </c>
      <c r="S11" s="10">
        <v>5000000</v>
      </c>
      <c r="T11" s="10">
        <v>5000000</v>
      </c>
      <c r="U11" s="10">
        <v>5000000</v>
      </c>
      <c r="V11" s="10">
        <v>5000000</v>
      </c>
      <c r="W11" s="10">
        <v>5000000</v>
      </c>
      <c r="X11" s="10">
        <v>5000000</v>
      </c>
      <c r="Y11" s="10">
        <v>5000000</v>
      </c>
      <c r="Z11" s="10">
        <v>5000000</v>
      </c>
      <c r="AA11" s="10">
        <v>5000000</v>
      </c>
      <c r="AB11" s="10">
        <v>5000000</v>
      </c>
      <c r="AC11" s="10">
        <v>5000000</v>
      </c>
      <c r="AD11" s="10">
        <v>5000000</v>
      </c>
      <c r="AE11" s="12">
        <f t="shared" si="0"/>
        <v>110000000</v>
      </c>
    </row>
    <row r="12" spans="2:31" ht="19.95" customHeight="1" x14ac:dyDescent="0.4">
      <c r="B12" s="59"/>
      <c r="C12" s="58"/>
      <c r="D12" s="58"/>
      <c r="E12" s="3" t="s">
        <v>41</v>
      </c>
      <c r="F12" s="4"/>
      <c r="G12" s="8"/>
      <c r="H12" s="28"/>
      <c r="I12" s="10">
        <v>5000000</v>
      </c>
      <c r="J12" s="10">
        <v>5000000</v>
      </c>
      <c r="K12" s="10">
        <v>5000000</v>
      </c>
      <c r="L12" s="10">
        <v>5000000</v>
      </c>
      <c r="M12" s="10">
        <v>5000000</v>
      </c>
      <c r="N12" s="10">
        <v>5000000</v>
      </c>
      <c r="O12" s="10">
        <v>5000000</v>
      </c>
      <c r="P12" s="10">
        <v>5000000</v>
      </c>
      <c r="Q12" s="10">
        <v>5000000</v>
      </c>
      <c r="R12" s="10">
        <v>5000000</v>
      </c>
      <c r="S12" s="10">
        <v>5000000</v>
      </c>
      <c r="T12" s="10">
        <v>5000000</v>
      </c>
      <c r="U12" s="10">
        <v>5000000</v>
      </c>
      <c r="V12" s="10">
        <v>5000000</v>
      </c>
      <c r="W12" s="10">
        <v>5000000</v>
      </c>
      <c r="X12" s="10">
        <v>5000000</v>
      </c>
      <c r="Y12" s="10">
        <v>5000000</v>
      </c>
      <c r="Z12" s="10">
        <v>5000000</v>
      </c>
      <c r="AA12" s="10">
        <v>5000000</v>
      </c>
      <c r="AB12" s="10">
        <v>5000000</v>
      </c>
      <c r="AC12" s="10">
        <v>5000000</v>
      </c>
      <c r="AD12" s="10">
        <v>5000000</v>
      </c>
      <c r="AE12" s="12">
        <f t="shared" si="0"/>
        <v>110000000</v>
      </c>
    </row>
    <row r="13" spans="2:31" ht="19.95" customHeight="1" x14ac:dyDescent="0.4">
      <c r="B13" s="59"/>
      <c r="C13" s="58"/>
      <c r="D13" s="58"/>
      <c r="E13" s="3" t="s">
        <v>42</v>
      </c>
      <c r="F13" s="4"/>
      <c r="G13" s="8"/>
      <c r="H13" s="28"/>
      <c r="I13" s="10">
        <v>5000000</v>
      </c>
      <c r="J13" s="10">
        <v>5000000</v>
      </c>
      <c r="K13" s="10">
        <v>5000000</v>
      </c>
      <c r="L13" s="10">
        <v>5000000</v>
      </c>
      <c r="M13" s="10">
        <v>5000000</v>
      </c>
      <c r="N13" s="10">
        <v>5000000</v>
      </c>
      <c r="O13" s="10">
        <v>5000000</v>
      </c>
      <c r="P13" s="10">
        <v>5000000</v>
      </c>
      <c r="Q13" s="10">
        <v>5000000</v>
      </c>
      <c r="R13" s="10">
        <v>5000000</v>
      </c>
      <c r="S13" s="10">
        <v>5000000</v>
      </c>
      <c r="T13" s="10">
        <v>5000000</v>
      </c>
      <c r="U13" s="10">
        <v>5000000</v>
      </c>
      <c r="V13" s="10">
        <v>5000000</v>
      </c>
      <c r="W13" s="10">
        <v>5000000</v>
      </c>
      <c r="X13" s="10">
        <v>5000000</v>
      </c>
      <c r="Y13" s="10">
        <v>5000000</v>
      </c>
      <c r="Z13" s="10">
        <v>5000000</v>
      </c>
      <c r="AA13" s="10">
        <v>5000000</v>
      </c>
      <c r="AB13" s="10">
        <v>5000000</v>
      </c>
      <c r="AC13" s="10">
        <v>5000000</v>
      </c>
      <c r="AD13" s="10">
        <v>5000000</v>
      </c>
      <c r="AE13" s="12">
        <f t="shared" si="0"/>
        <v>110000000</v>
      </c>
    </row>
    <row r="14" spans="2:31" ht="19.95" customHeight="1" x14ac:dyDescent="0.4">
      <c r="B14" s="59"/>
      <c r="C14" s="58"/>
      <c r="D14" s="58"/>
      <c r="E14" s="3" t="s">
        <v>44</v>
      </c>
      <c r="F14" s="4"/>
      <c r="G14" s="8"/>
      <c r="H14" s="28"/>
      <c r="I14" s="10">
        <v>3000000</v>
      </c>
      <c r="J14" s="10">
        <v>3000000</v>
      </c>
      <c r="K14" s="10">
        <v>3000000</v>
      </c>
      <c r="L14" s="10">
        <v>3000000</v>
      </c>
      <c r="M14" s="10">
        <v>3000000</v>
      </c>
      <c r="N14" s="10">
        <v>3000000</v>
      </c>
      <c r="O14" s="10">
        <v>3000000</v>
      </c>
      <c r="P14" s="10">
        <v>3000000</v>
      </c>
      <c r="Q14" s="10">
        <v>3000000</v>
      </c>
      <c r="R14" s="10">
        <v>3000000</v>
      </c>
      <c r="S14" s="10">
        <v>3000000</v>
      </c>
      <c r="T14" s="10">
        <v>3000000</v>
      </c>
      <c r="U14" s="10">
        <v>3000000</v>
      </c>
      <c r="V14" s="10">
        <v>3000000</v>
      </c>
      <c r="W14" s="10">
        <v>3000000</v>
      </c>
      <c r="X14" s="10">
        <v>3000000</v>
      </c>
      <c r="Y14" s="10">
        <v>3000000</v>
      </c>
      <c r="Z14" s="10">
        <v>3000000</v>
      </c>
      <c r="AA14" s="10">
        <v>3000000</v>
      </c>
      <c r="AB14" s="10">
        <v>3000000</v>
      </c>
      <c r="AC14" s="10">
        <v>3000000</v>
      </c>
      <c r="AD14" s="10">
        <v>3000000</v>
      </c>
      <c r="AE14" s="12">
        <f t="shared" si="0"/>
        <v>66000000</v>
      </c>
    </row>
    <row r="15" spans="2:31" ht="19.95" customHeight="1" x14ac:dyDescent="0.4">
      <c r="B15" s="59"/>
      <c r="C15" s="58"/>
      <c r="D15" s="58"/>
      <c r="E15" s="3" t="s">
        <v>45</v>
      </c>
      <c r="F15" s="4"/>
      <c r="G15" s="8"/>
      <c r="H15" s="28"/>
      <c r="I15" s="10">
        <v>3000000</v>
      </c>
      <c r="J15" s="10">
        <v>3000000</v>
      </c>
      <c r="K15" s="10">
        <v>3000000</v>
      </c>
      <c r="L15" s="10">
        <v>3000000</v>
      </c>
      <c r="M15" s="10">
        <v>3000000</v>
      </c>
      <c r="N15" s="10">
        <v>3000000</v>
      </c>
      <c r="O15" s="10">
        <v>3000000</v>
      </c>
      <c r="P15" s="10">
        <v>3000000</v>
      </c>
      <c r="Q15" s="10">
        <v>3000000</v>
      </c>
      <c r="R15" s="10">
        <v>3000000</v>
      </c>
      <c r="S15" s="10">
        <v>3000000</v>
      </c>
      <c r="T15" s="10">
        <v>3000000</v>
      </c>
      <c r="U15" s="10">
        <v>3000000</v>
      </c>
      <c r="V15" s="10">
        <v>3000000</v>
      </c>
      <c r="W15" s="10">
        <v>3000000</v>
      </c>
      <c r="X15" s="10">
        <v>3000000</v>
      </c>
      <c r="Y15" s="10">
        <v>3000000</v>
      </c>
      <c r="Z15" s="10">
        <v>3000000</v>
      </c>
      <c r="AA15" s="10">
        <v>3000000</v>
      </c>
      <c r="AB15" s="10">
        <v>3000000</v>
      </c>
      <c r="AC15" s="10">
        <v>3000000</v>
      </c>
      <c r="AD15" s="10">
        <v>3000000</v>
      </c>
      <c r="AE15" s="12">
        <f t="shared" si="0"/>
        <v>66000000</v>
      </c>
    </row>
    <row r="16" spans="2:31" ht="19.95" customHeight="1" x14ac:dyDescent="0.4">
      <c r="B16" s="59"/>
      <c r="C16" s="58"/>
      <c r="D16" s="58"/>
      <c r="E16" s="3" t="s">
        <v>43</v>
      </c>
      <c r="F16" s="4"/>
      <c r="G16" s="8"/>
      <c r="H16" s="28"/>
      <c r="I16" s="10">
        <v>5000000</v>
      </c>
      <c r="J16" s="10">
        <v>5000000</v>
      </c>
      <c r="K16" s="10">
        <v>5000000</v>
      </c>
      <c r="L16" s="10">
        <v>5000000</v>
      </c>
      <c r="M16" s="10">
        <v>5000000</v>
      </c>
      <c r="N16" s="10">
        <v>5000000</v>
      </c>
      <c r="O16" s="10">
        <v>5000000</v>
      </c>
      <c r="P16" s="10">
        <v>5000000</v>
      </c>
      <c r="Q16" s="10">
        <v>5000000</v>
      </c>
      <c r="R16" s="10">
        <v>5000000</v>
      </c>
      <c r="S16" s="10">
        <v>5000000</v>
      </c>
      <c r="T16" s="10">
        <v>5000000</v>
      </c>
      <c r="U16" s="10">
        <v>5000000</v>
      </c>
      <c r="V16" s="10">
        <v>5000000</v>
      </c>
      <c r="W16" s="10">
        <v>5000000</v>
      </c>
      <c r="X16" s="10">
        <v>5000000</v>
      </c>
      <c r="Y16" s="10">
        <v>5000000</v>
      </c>
      <c r="Z16" s="10">
        <v>5000000</v>
      </c>
      <c r="AA16" s="10">
        <v>5000000</v>
      </c>
      <c r="AB16" s="10">
        <v>5000000</v>
      </c>
      <c r="AC16" s="10">
        <v>5000000</v>
      </c>
      <c r="AD16" s="10">
        <v>5000000</v>
      </c>
      <c r="AE16" s="12">
        <f t="shared" si="0"/>
        <v>110000000</v>
      </c>
    </row>
    <row r="17" spans="2:31" ht="19.95" customHeight="1" x14ac:dyDescent="0.4">
      <c r="B17" s="59"/>
      <c r="C17" s="58"/>
      <c r="D17" s="65"/>
      <c r="E17" s="3" t="s">
        <v>46</v>
      </c>
      <c r="F17" s="4"/>
      <c r="G17" s="8"/>
      <c r="H17" s="28"/>
      <c r="I17" s="10">
        <v>5000000</v>
      </c>
      <c r="J17" s="10">
        <v>5000000</v>
      </c>
      <c r="K17" s="10">
        <v>5000000</v>
      </c>
      <c r="L17" s="10">
        <v>5000000</v>
      </c>
      <c r="M17" s="10">
        <v>5000000</v>
      </c>
      <c r="N17" s="10">
        <v>5000000</v>
      </c>
      <c r="O17" s="10">
        <v>5000000</v>
      </c>
      <c r="P17" s="10">
        <v>5000000</v>
      </c>
      <c r="Q17" s="10">
        <v>5000000</v>
      </c>
      <c r="R17" s="10">
        <v>5000000</v>
      </c>
      <c r="S17" s="10">
        <v>5000000</v>
      </c>
      <c r="T17" s="10">
        <v>5000000</v>
      </c>
      <c r="U17" s="10">
        <v>5000000</v>
      </c>
      <c r="V17" s="10">
        <v>5000000</v>
      </c>
      <c r="W17" s="10">
        <v>5000000</v>
      </c>
      <c r="X17" s="10">
        <v>5000000</v>
      </c>
      <c r="Y17" s="10">
        <v>5000000</v>
      </c>
      <c r="Z17" s="10">
        <v>5000000</v>
      </c>
      <c r="AA17" s="10">
        <v>5000000</v>
      </c>
      <c r="AB17" s="10">
        <v>5000000</v>
      </c>
      <c r="AC17" s="10">
        <v>5000000</v>
      </c>
      <c r="AD17" s="10">
        <v>5000000</v>
      </c>
      <c r="AE17" s="12">
        <f t="shared" si="0"/>
        <v>110000000</v>
      </c>
    </row>
    <row r="18" spans="2:31" ht="19.95" customHeight="1" x14ac:dyDescent="0.4">
      <c r="B18" s="59"/>
      <c r="C18" s="58"/>
      <c r="D18" s="62" t="s">
        <v>13</v>
      </c>
      <c r="E18" s="3" t="s">
        <v>14</v>
      </c>
      <c r="F18" s="4">
        <v>2700</v>
      </c>
      <c r="G18" s="8">
        <f t="shared" si="1"/>
        <v>3915000</v>
      </c>
      <c r="H18" s="28"/>
      <c r="I18" s="10">
        <v>3915000</v>
      </c>
      <c r="J18" s="10"/>
      <c r="K18" s="10">
        <v>3915000</v>
      </c>
      <c r="L18" s="10">
        <v>3915000</v>
      </c>
      <c r="M18" s="10">
        <v>3915000</v>
      </c>
      <c r="N18" s="10">
        <v>3915000</v>
      </c>
      <c r="O18" s="10">
        <v>3915000</v>
      </c>
      <c r="P18" s="10">
        <v>3915000</v>
      </c>
      <c r="Q18" s="10">
        <v>3915000</v>
      </c>
      <c r="R18" s="10">
        <v>3915000</v>
      </c>
      <c r="S18" s="10">
        <v>3915000</v>
      </c>
      <c r="T18" s="10">
        <v>3915000</v>
      </c>
      <c r="U18" s="10">
        <v>3915000</v>
      </c>
      <c r="V18" s="10">
        <v>3915000</v>
      </c>
      <c r="W18" s="10">
        <v>3915000</v>
      </c>
      <c r="X18" s="10">
        <v>3915000</v>
      </c>
      <c r="Y18" s="10">
        <v>3915000</v>
      </c>
      <c r="Z18" s="10">
        <v>3915000</v>
      </c>
      <c r="AA18" s="10">
        <v>3915000</v>
      </c>
      <c r="AB18" s="10">
        <v>3915000</v>
      </c>
      <c r="AC18" s="10">
        <v>3915000</v>
      </c>
      <c r="AD18" s="11">
        <v>3915000</v>
      </c>
      <c r="AE18" s="12">
        <f t="shared" si="0"/>
        <v>82215000</v>
      </c>
    </row>
    <row r="19" spans="2:31" ht="19.95" customHeight="1" x14ac:dyDescent="0.4">
      <c r="B19" s="59"/>
      <c r="C19" s="58"/>
      <c r="D19" s="62"/>
      <c r="E19" s="3" t="s">
        <v>16</v>
      </c>
      <c r="F19" s="4">
        <v>1300</v>
      </c>
      <c r="G19" s="8">
        <f t="shared" si="1"/>
        <v>1885000</v>
      </c>
      <c r="H19" s="28"/>
      <c r="I19" s="10">
        <v>1885000</v>
      </c>
      <c r="J19" s="10"/>
      <c r="K19" s="10">
        <v>1885000</v>
      </c>
      <c r="L19" s="10">
        <v>1885000</v>
      </c>
      <c r="M19" s="10">
        <v>1885000</v>
      </c>
      <c r="N19" s="10">
        <v>1885000</v>
      </c>
      <c r="O19" s="10">
        <v>1885000</v>
      </c>
      <c r="P19" s="10">
        <v>1885000</v>
      </c>
      <c r="Q19" s="10">
        <v>1885000</v>
      </c>
      <c r="R19" s="10">
        <v>1885000</v>
      </c>
      <c r="S19" s="10">
        <v>1885000</v>
      </c>
      <c r="T19" s="10">
        <v>1885000</v>
      </c>
      <c r="U19" s="10">
        <v>1885000</v>
      </c>
      <c r="V19" s="10">
        <v>1885000</v>
      </c>
      <c r="W19" s="10">
        <v>1885000</v>
      </c>
      <c r="X19" s="10">
        <v>1885000</v>
      </c>
      <c r="Y19" s="10">
        <v>1885000</v>
      </c>
      <c r="Z19" s="10">
        <v>1885000</v>
      </c>
      <c r="AA19" s="10">
        <v>1885000</v>
      </c>
      <c r="AB19" s="10">
        <v>1885000</v>
      </c>
      <c r="AC19" s="10">
        <v>1885000</v>
      </c>
      <c r="AD19" s="11">
        <v>1885000</v>
      </c>
      <c r="AE19" s="12">
        <f t="shared" si="0"/>
        <v>39585000</v>
      </c>
    </row>
    <row r="20" spans="2:31" ht="19.95" customHeight="1" x14ac:dyDescent="0.4">
      <c r="B20" s="59"/>
      <c r="C20" s="58"/>
      <c r="D20" s="62"/>
      <c r="E20" s="3" t="s">
        <v>15</v>
      </c>
      <c r="F20" s="4">
        <v>3000</v>
      </c>
      <c r="G20" s="8">
        <f t="shared" si="1"/>
        <v>4350000</v>
      </c>
      <c r="H20" s="28"/>
      <c r="I20" s="10">
        <v>4350000</v>
      </c>
      <c r="J20" s="10"/>
      <c r="K20" s="10">
        <v>4350000</v>
      </c>
      <c r="L20" s="10">
        <v>4350000</v>
      </c>
      <c r="M20" s="10">
        <v>4350000</v>
      </c>
      <c r="N20" s="10">
        <v>4350000</v>
      </c>
      <c r="O20" s="10">
        <v>4350000</v>
      </c>
      <c r="P20" s="10">
        <v>4350000</v>
      </c>
      <c r="Q20" s="10">
        <v>4350000</v>
      </c>
      <c r="R20" s="10">
        <v>4350000</v>
      </c>
      <c r="S20" s="10">
        <v>4350000</v>
      </c>
      <c r="T20" s="10">
        <v>4350000</v>
      </c>
      <c r="U20" s="10">
        <v>4350000</v>
      </c>
      <c r="V20" s="10">
        <v>4350000</v>
      </c>
      <c r="W20" s="10">
        <v>4350000</v>
      </c>
      <c r="X20" s="10">
        <v>4350000</v>
      </c>
      <c r="Y20" s="10">
        <v>4350000</v>
      </c>
      <c r="Z20" s="10">
        <v>4350000</v>
      </c>
      <c r="AA20" s="10">
        <v>4350000</v>
      </c>
      <c r="AB20" s="10">
        <v>4350000</v>
      </c>
      <c r="AC20" s="10">
        <v>4350000</v>
      </c>
      <c r="AD20" s="11">
        <v>4350000</v>
      </c>
      <c r="AE20" s="12">
        <f t="shared" si="0"/>
        <v>91350000</v>
      </c>
    </row>
    <row r="21" spans="2:31" ht="19.95" customHeight="1" x14ac:dyDescent="0.4">
      <c r="B21" s="59"/>
      <c r="C21" s="62" t="s">
        <v>18</v>
      </c>
      <c r="D21" s="62" t="s">
        <v>17</v>
      </c>
      <c r="E21" s="3" t="s">
        <v>40</v>
      </c>
      <c r="F21" s="4">
        <v>40000</v>
      </c>
      <c r="G21" s="8">
        <f t="shared" si="1"/>
        <v>58000000</v>
      </c>
      <c r="H21" s="28"/>
      <c r="I21" s="10"/>
      <c r="J21" s="10"/>
      <c r="K21" s="10"/>
      <c r="L21" s="10">
        <v>30000000</v>
      </c>
      <c r="M21" s="10"/>
      <c r="N21" s="10"/>
      <c r="O21" s="10"/>
      <c r="P21" s="10">
        <v>30000000</v>
      </c>
      <c r="Q21" s="10"/>
      <c r="R21" s="10"/>
      <c r="S21" s="10">
        <v>30000000</v>
      </c>
      <c r="T21" s="10"/>
      <c r="U21" s="10"/>
      <c r="V21" s="10">
        <v>30000000</v>
      </c>
      <c r="W21" s="10"/>
      <c r="X21" s="10"/>
      <c r="Y21" s="10"/>
      <c r="Z21" s="10"/>
      <c r="AA21" s="10"/>
      <c r="AB21" s="10"/>
      <c r="AC21" s="10"/>
      <c r="AD21" s="11"/>
      <c r="AE21" s="12">
        <f t="shared" si="0"/>
        <v>120000000</v>
      </c>
    </row>
    <row r="22" spans="2:31" ht="19.95" customHeight="1" thickBot="1" x14ac:dyDescent="0.45">
      <c r="B22" s="59"/>
      <c r="C22" s="64"/>
      <c r="D22" s="64"/>
      <c r="E22" s="34" t="s">
        <v>39</v>
      </c>
      <c r="F22" s="35">
        <v>160000</v>
      </c>
      <c r="G22" s="32">
        <f t="shared" si="1"/>
        <v>232000000</v>
      </c>
      <c r="H22" s="28"/>
      <c r="I22" s="36"/>
      <c r="J22" s="36"/>
      <c r="K22" s="36"/>
      <c r="L22" s="36">
        <v>600000000</v>
      </c>
      <c r="M22" s="36"/>
      <c r="N22" s="36"/>
      <c r="O22" s="36"/>
      <c r="P22" s="36">
        <v>600000000</v>
      </c>
      <c r="Q22" s="36"/>
      <c r="R22" s="36"/>
      <c r="S22" s="36">
        <v>600000000</v>
      </c>
      <c r="T22" s="36"/>
      <c r="U22" s="36"/>
      <c r="V22" s="36">
        <v>600000000</v>
      </c>
      <c r="W22" s="36"/>
      <c r="X22" s="36"/>
      <c r="Y22" s="36"/>
      <c r="Z22" s="36"/>
      <c r="AA22" s="36"/>
      <c r="AB22" s="36"/>
      <c r="AC22" s="36"/>
      <c r="AD22" s="37"/>
      <c r="AE22" s="38">
        <f t="shared" si="0"/>
        <v>2400000000</v>
      </c>
    </row>
    <row r="23" spans="2:31" ht="19.95" customHeight="1" thickBot="1" x14ac:dyDescent="0.45">
      <c r="B23" s="59"/>
      <c r="C23" s="72" t="s">
        <v>27</v>
      </c>
      <c r="D23" s="73"/>
      <c r="E23" s="74"/>
      <c r="F23" s="33">
        <f>SUM(F5:F22)</f>
        <v>272500</v>
      </c>
      <c r="G23" s="39">
        <f t="shared" si="1"/>
        <v>395125000</v>
      </c>
      <c r="I23" s="41">
        <f>SUM(I5:I22)</f>
        <v>127425000</v>
      </c>
      <c r="J23" s="41">
        <f>SUM(J5:J22)</f>
        <v>31000000</v>
      </c>
      <c r="K23" s="41">
        <f>SUM(K5:K22)</f>
        <v>41150000</v>
      </c>
      <c r="L23" s="41">
        <f>SUM(L5:L22)</f>
        <v>671150000</v>
      </c>
      <c r="M23" s="41">
        <f t="shared" ref="K23:AD23" si="2">SUM(M5:M22)</f>
        <v>41150000</v>
      </c>
      <c r="N23" s="41">
        <f t="shared" si="2"/>
        <v>41150000</v>
      </c>
      <c r="O23" s="41">
        <f t="shared" si="2"/>
        <v>41150000</v>
      </c>
      <c r="P23" s="41">
        <f t="shared" si="2"/>
        <v>671150000</v>
      </c>
      <c r="Q23" s="41">
        <f t="shared" si="2"/>
        <v>41150000</v>
      </c>
      <c r="R23" s="41">
        <f t="shared" si="2"/>
        <v>41150000</v>
      </c>
      <c r="S23" s="41">
        <f t="shared" si="2"/>
        <v>671150000</v>
      </c>
      <c r="T23" s="41">
        <f t="shared" si="2"/>
        <v>41150000</v>
      </c>
      <c r="U23" s="41">
        <f t="shared" si="2"/>
        <v>41150000</v>
      </c>
      <c r="V23" s="41">
        <f t="shared" si="2"/>
        <v>671150000</v>
      </c>
      <c r="W23" s="41">
        <f t="shared" si="2"/>
        <v>41150000</v>
      </c>
      <c r="X23" s="41">
        <f t="shared" si="2"/>
        <v>41150000</v>
      </c>
      <c r="Y23" s="41">
        <f t="shared" si="2"/>
        <v>41150000</v>
      </c>
      <c r="Z23" s="41">
        <f t="shared" si="2"/>
        <v>41150000</v>
      </c>
      <c r="AA23" s="41">
        <f t="shared" si="2"/>
        <v>41150000</v>
      </c>
      <c r="AB23" s="41">
        <f t="shared" si="2"/>
        <v>41150000</v>
      </c>
      <c r="AC23" s="41">
        <f t="shared" si="2"/>
        <v>41150000</v>
      </c>
      <c r="AD23" s="41">
        <f t="shared" si="2"/>
        <v>41150000</v>
      </c>
      <c r="AE23" s="31">
        <f t="shared" si="0"/>
        <v>3501425000</v>
      </c>
    </row>
    <row r="24" spans="2:31" ht="19.95" customHeight="1" thickBot="1" x14ac:dyDescent="0.45">
      <c r="B24" s="60"/>
      <c r="C24" s="75" t="s">
        <v>28</v>
      </c>
      <c r="D24" s="76"/>
      <c r="E24" s="77"/>
      <c r="F24" s="29"/>
      <c r="G24" s="40"/>
      <c r="I24" s="42"/>
      <c r="J24" s="42"/>
      <c r="K24" s="30"/>
      <c r="L24" s="30"/>
      <c r="M24" s="30">
        <f t="shared" ref="M24:AD24" si="3">M26*$M$2</f>
        <v>100000000</v>
      </c>
      <c r="N24" s="30">
        <f t="shared" si="3"/>
        <v>200000000</v>
      </c>
      <c r="O24" s="30">
        <f t="shared" si="3"/>
        <v>400000000</v>
      </c>
      <c r="P24" s="30">
        <f t="shared" si="3"/>
        <v>700000000</v>
      </c>
      <c r="Q24" s="30">
        <f t="shared" si="3"/>
        <v>1100000000</v>
      </c>
      <c r="R24" s="30">
        <f t="shared" si="3"/>
        <v>1600000000</v>
      </c>
      <c r="S24" s="30">
        <f t="shared" si="3"/>
        <v>2200000000</v>
      </c>
      <c r="T24" s="30">
        <f t="shared" si="3"/>
        <v>3000000000</v>
      </c>
      <c r="U24" s="30">
        <f t="shared" si="3"/>
        <v>4000000000</v>
      </c>
      <c r="V24" s="30">
        <f t="shared" si="3"/>
        <v>5000000000</v>
      </c>
      <c r="W24" s="30">
        <f t="shared" si="3"/>
        <v>6500000000</v>
      </c>
      <c r="X24" s="30">
        <f t="shared" si="3"/>
        <v>7500000000</v>
      </c>
      <c r="Y24" s="30">
        <f t="shared" si="3"/>
        <v>9000000000</v>
      </c>
      <c r="Z24" s="30">
        <f t="shared" si="3"/>
        <v>10000000000</v>
      </c>
      <c r="AA24" s="30">
        <f t="shared" si="3"/>
        <v>11000000000</v>
      </c>
      <c r="AB24" s="30">
        <f t="shared" si="3"/>
        <v>12000000000</v>
      </c>
      <c r="AC24" s="30">
        <f t="shared" si="3"/>
        <v>13500000000</v>
      </c>
      <c r="AD24" s="30">
        <f t="shared" si="3"/>
        <v>15000000000</v>
      </c>
      <c r="AE24" s="31">
        <f t="shared" si="0"/>
        <v>102800000000</v>
      </c>
    </row>
    <row r="25" spans="2:31" ht="4.8" customHeight="1" x14ac:dyDescent="0.4">
      <c r="B25" s="43"/>
      <c r="C25" s="44"/>
      <c r="D25" s="44"/>
      <c r="E25" s="44"/>
      <c r="F25" s="45"/>
      <c r="G25" s="46"/>
      <c r="H25" s="46"/>
      <c r="I25" s="47"/>
      <c r="J25" s="47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9"/>
    </row>
    <row r="26" spans="2:31" ht="19.95" customHeight="1" x14ac:dyDescent="0.4">
      <c r="B26" s="78" t="s">
        <v>26</v>
      </c>
      <c r="C26" s="78"/>
      <c r="D26" s="78"/>
      <c r="E26" s="78"/>
      <c r="F26" s="1"/>
      <c r="G26" s="6">
        <f>G22/4</f>
        <v>58000000</v>
      </c>
      <c r="I26" s="21">
        <v>1000000000</v>
      </c>
      <c r="J26" s="21"/>
      <c r="K26" s="22"/>
      <c r="L26" s="23"/>
      <c r="M26" s="24">
        <v>200000000</v>
      </c>
      <c r="N26" s="24">
        <v>400000000</v>
      </c>
      <c r="O26" s="25">
        <v>800000000</v>
      </c>
      <c r="P26" s="24">
        <v>1400000000</v>
      </c>
      <c r="Q26" s="24">
        <v>2200000000</v>
      </c>
      <c r="R26" s="24">
        <v>3200000000</v>
      </c>
      <c r="S26" s="24">
        <v>4400000000</v>
      </c>
      <c r="T26" s="24">
        <v>6000000000</v>
      </c>
      <c r="U26" s="24">
        <v>8000000000</v>
      </c>
      <c r="V26" s="24">
        <v>10000000000</v>
      </c>
      <c r="W26" s="24">
        <v>13000000000</v>
      </c>
      <c r="X26" s="24">
        <v>15000000000</v>
      </c>
      <c r="Y26" s="24">
        <v>18000000000</v>
      </c>
      <c r="Z26" s="24">
        <v>20000000000</v>
      </c>
      <c r="AA26" s="24">
        <v>22000000000</v>
      </c>
      <c r="AB26" s="24">
        <v>24000000000</v>
      </c>
      <c r="AC26" s="24">
        <v>27000000000</v>
      </c>
      <c r="AD26" s="26">
        <v>30000000000</v>
      </c>
      <c r="AE26" s="27">
        <f>SUM(I26:AD26)</f>
        <v>206600000000</v>
      </c>
    </row>
    <row r="27" spans="2:31" ht="19.95" customHeight="1" x14ac:dyDescent="0.4">
      <c r="B27" s="13"/>
      <c r="C27" s="13"/>
      <c r="D27" s="13"/>
      <c r="E27" s="13"/>
      <c r="F27" s="1"/>
      <c r="I27" s="17" t="s">
        <v>24</v>
      </c>
      <c r="J27" s="57"/>
      <c r="K27" s="66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8"/>
    </row>
    <row r="28" spans="2:31" ht="19.95" customHeight="1" x14ac:dyDescent="0.4">
      <c r="B28" s="79" t="s">
        <v>29</v>
      </c>
      <c r="C28" s="79"/>
      <c r="D28" s="79"/>
      <c r="E28" s="79"/>
      <c r="F28" s="1"/>
      <c r="I28" s="18">
        <f t="shared" ref="I28:AD28" si="4">I26-I24-I23</f>
        <v>872575000</v>
      </c>
      <c r="J28" s="18">
        <f>J26-J23-J24</f>
        <v>-31000000</v>
      </c>
      <c r="K28" s="18">
        <f t="shared" si="4"/>
        <v>-41150000</v>
      </c>
      <c r="L28" s="18">
        <f t="shared" si="4"/>
        <v>-671150000</v>
      </c>
      <c r="M28" s="18">
        <f t="shared" si="4"/>
        <v>58850000</v>
      </c>
      <c r="N28" s="18">
        <f t="shared" si="4"/>
        <v>158850000</v>
      </c>
      <c r="O28" s="18">
        <f t="shared" si="4"/>
        <v>358850000</v>
      </c>
      <c r="P28" s="18">
        <f t="shared" si="4"/>
        <v>28850000</v>
      </c>
      <c r="Q28" s="18">
        <f t="shared" si="4"/>
        <v>1058850000</v>
      </c>
      <c r="R28" s="18">
        <f t="shared" si="4"/>
        <v>1558850000</v>
      </c>
      <c r="S28" s="18">
        <f t="shared" si="4"/>
        <v>1528850000</v>
      </c>
      <c r="T28" s="18">
        <f t="shared" si="4"/>
        <v>2958850000</v>
      </c>
      <c r="U28" s="18">
        <f t="shared" si="4"/>
        <v>3958850000</v>
      </c>
      <c r="V28" s="18">
        <f t="shared" si="4"/>
        <v>4328850000</v>
      </c>
      <c r="W28" s="18">
        <f t="shared" si="4"/>
        <v>6458850000</v>
      </c>
      <c r="X28" s="18">
        <f t="shared" si="4"/>
        <v>7458850000</v>
      </c>
      <c r="Y28" s="18">
        <f t="shared" si="4"/>
        <v>8958850000</v>
      </c>
      <c r="Z28" s="18">
        <f t="shared" si="4"/>
        <v>9958850000</v>
      </c>
      <c r="AA28" s="18">
        <f t="shared" si="4"/>
        <v>10958850000</v>
      </c>
      <c r="AB28" s="18">
        <f t="shared" si="4"/>
        <v>11958850000</v>
      </c>
      <c r="AC28" s="18">
        <f t="shared" si="4"/>
        <v>13458850000</v>
      </c>
      <c r="AD28" s="18">
        <f t="shared" si="4"/>
        <v>14958850000</v>
      </c>
      <c r="AE28" s="15">
        <f>SUM(I28:AD28)</f>
        <v>100298575000</v>
      </c>
    </row>
    <row r="29" spans="2:31" ht="19.95" customHeight="1" x14ac:dyDescent="0.4">
      <c r="B29" s="13"/>
      <c r="C29" s="13"/>
      <c r="D29" s="13"/>
      <c r="E29" s="13"/>
      <c r="F29" s="1"/>
      <c r="I29" s="69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1"/>
    </row>
    <row r="30" spans="2:31" ht="19.2" x14ac:dyDescent="0.4">
      <c r="B30" s="61" t="s">
        <v>30</v>
      </c>
      <c r="C30" s="61"/>
      <c r="D30" s="61"/>
      <c r="E30" s="61"/>
      <c r="I30" s="19"/>
      <c r="J30" s="18">
        <f>I28+J28</f>
        <v>841575000</v>
      </c>
      <c r="K30" s="18">
        <f>J30+K28</f>
        <v>800425000</v>
      </c>
      <c r="L30" s="18">
        <f t="shared" ref="L30:AD30" si="5">K30+L28</f>
        <v>129275000</v>
      </c>
      <c r="M30" s="18">
        <f t="shared" si="5"/>
        <v>188125000</v>
      </c>
      <c r="N30" s="18">
        <f t="shared" si="5"/>
        <v>346975000</v>
      </c>
      <c r="O30" s="20">
        <f t="shared" si="5"/>
        <v>705825000</v>
      </c>
      <c r="P30" s="18">
        <f t="shared" si="5"/>
        <v>734675000</v>
      </c>
      <c r="Q30" s="18">
        <f t="shared" si="5"/>
        <v>1793525000</v>
      </c>
      <c r="R30" s="20">
        <f t="shared" si="5"/>
        <v>3352375000</v>
      </c>
      <c r="S30" s="18">
        <f t="shared" si="5"/>
        <v>4881225000</v>
      </c>
      <c r="T30" s="18">
        <f t="shared" si="5"/>
        <v>7840075000</v>
      </c>
      <c r="U30" s="18">
        <f t="shared" si="5"/>
        <v>11798925000</v>
      </c>
      <c r="V30" s="18">
        <f t="shared" si="5"/>
        <v>16127775000</v>
      </c>
      <c r="W30" s="18">
        <f t="shared" si="5"/>
        <v>22586625000</v>
      </c>
      <c r="X30" s="20">
        <f t="shared" si="5"/>
        <v>30045475000</v>
      </c>
      <c r="Y30" s="18">
        <f t="shared" si="5"/>
        <v>39004325000</v>
      </c>
      <c r="Z30" s="18">
        <f t="shared" si="5"/>
        <v>48963175000</v>
      </c>
      <c r="AA30" s="18">
        <f t="shared" si="5"/>
        <v>59922025000</v>
      </c>
      <c r="AB30" s="18">
        <f t="shared" si="5"/>
        <v>71880875000</v>
      </c>
      <c r="AC30" s="18">
        <f t="shared" si="5"/>
        <v>85339725000</v>
      </c>
      <c r="AD30" s="20">
        <f t="shared" si="5"/>
        <v>100298575000</v>
      </c>
      <c r="AE30" s="19"/>
    </row>
    <row r="32" spans="2:31" x14ac:dyDescent="0.4">
      <c r="E32" s="55" t="s">
        <v>31</v>
      </c>
      <c r="I32" s="53">
        <v>0.1</v>
      </c>
      <c r="J32" s="53"/>
      <c r="K32" s="51">
        <f>K30*$I$32</f>
        <v>80042500</v>
      </c>
      <c r="L32" s="51">
        <f t="shared" ref="L32:AD32" si="6">L30*$I$32</f>
        <v>12927500</v>
      </c>
      <c r="M32" s="51">
        <f t="shared" si="6"/>
        <v>18812500</v>
      </c>
      <c r="N32" s="51">
        <f t="shared" si="6"/>
        <v>34697500</v>
      </c>
      <c r="O32" s="51">
        <f t="shared" si="6"/>
        <v>70582500</v>
      </c>
      <c r="P32" s="51">
        <f t="shared" si="6"/>
        <v>73467500</v>
      </c>
      <c r="Q32" s="51">
        <f t="shared" si="6"/>
        <v>179352500</v>
      </c>
      <c r="R32" s="51">
        <f t="shared" si="6"/>
        <v>335237500</v>
      </c>
      <c r="S32" s="51">
        <f t="shared" si="6"/>
        <v>488122500</v>
      </c>
      <c r="T32" s="51">
        <f t="shared" si="6"/>
        <v>784007500</v>
      </c>
      <c r="U32" s="51">
        <f t="shared" si="6"/>
        <v>1179892500</v>
      </c>
      <c r="V32" s="51">
        <f t="shared" si="6"/>
        <v>1612777500</v>
      </c>
      <c r="W32" s="51">
        <f t="shared" si="6"/>
        <v>2258662500</v>
      </c>
      <c r="X32" s="51">
        <f t="shared" si="6"/>
        <v>3004547500</v>
      </c>
      <c r="Y32" s="51">
        <f t="shared" si="6"/>
        <v>3900432500</v>
      </c>
      <c r="Z32" s="51">
        <f t="shared" si="6"/>
        <v>4896317500</v>
      </c>
      <c r="AA32" s="51">
        <f t="shared" si="6"/>
        <v>5992202500</v>
      </c>
      <c r="AB32" s="51">
        <f t="shared" si="6"/>
        <v>7188087500</v>
      </c>
      <c r="AC32" s="51">
        <f t="shared" si="6"/>
        <v>8533972500</v>
      </c>
      <c r="AD32" s="51">
        <f t="shared" si="6"/>
        <v>10029857500</v>
      </c>
      <c r="AE32" s="51"/>
    </row>
    <row r="33" spans="4:31" x14ac:dyDescent="0.4">
      <c r="E33" s="55" t="s">
        <v>32</v>
      </c>
      <c r="I33" s="53">
        <v>0.05</v>
      </c>
      <c r="J33" s="53"/>
      <c r="K33" s="51">
        <f>K30*$I$33</f>
        <v>40021250</v>
      </c>
      <c r="L33" s="51">
        <f t="shared" ref="L33:AD33" si="7">L30*$I$33</f>
        <v>6463750</v>
      </c>
      <c r="M33" s="51">
        <f t="shared" si="7"/>
        <v>9406250</v>
      </c>
      <c r="N33" s="51">
        <f t="shared" si="7"/>
        <v>17348750</v>
      </c>
      <c r="O33" s="51">
        <f t="shared" si="7"/>
        <v>35291250</v>
      </c>
      <c r="P33" s="51">
        <f t="shared" si="7"/>
        <v>36733750</v>
      </c>
      <c r="Q33" s="51">
        <f t="shared" si="7"/>
        <v>89676250</v>
      </c>
      <c r="R33" s="51">
        <f t="shared" si="7"/>
        <v>167618750</v>
      </c>
      <c r="S33" s="51">
        <f t="shared" si="7"/>
        <v>244061250</v>
      </c>
      <c r="T33" s="51">
        <f t="shared" si="7"/>
        <v>392003750</v>
      </c>
      <c r="U33" s="51">
        <f t="shared" si="7"/>
        <v>589946250</v>
      </c>
      <c r="V33" s="51">
        <f t="shared" si="7"/>
        <v>806388750</v>
      </c>
      <c r="W33" s="51">
        <f t="shared" si="7"/>
        <v>1129331250</v>
      </c>
      <c r="X33" s="51">
        <f t="shared" si="7"/>
        <v>1502273750</v>
      </c>
      <c r="Y33" s="51">
        <f t="shared" si="7"/>
        <v>1950216250</v>
      </c>
      <c r="Z33" s="51">
        <f t="shared" si="7"/>
        <v>2448158750</v>
      </c>
      <c r="AA33" s="51">
        <f t="shared" si="7"/>
        <v>2996101250</v>
      </c>
      <c r="AB33" s="51">
        <f t="shared" si="7"/>
        <v>3594043750</v>
      </c>
      <c r="AC33" s="51">
        <f t="shared" si="7"/>
        <v>4266986250</v>
      </c>
      <c r="AD33" s="51">
        <f t="shared" si="7"/>
        <v>5014928750</v>
      </c>
    </row>
    <row r="34" spans="4:31" x14ac:dyDescent="0.4">
      <c r="E34" s="55" t="s">
        <v>37</v>
      </c>
      <c r="I34" s="53">
        <v>0.05</v>
      </c>
      <c r="J34" s="53"/>
      <c r="K34" s="51">
        <f>K30*$I$34</f>
        <v>40021250</v>
      </c>
      <c r="L34" s="51">
        <f t="shared" ref="L34:AD34" si="8">L30*$I$34</f>
        <v>6463750</v>
      </c>
      <c r="M34" s="51">
        <f t="shared" si="8"/>
        <v>9406250</v>
      </c>
      <c r="N34" s="51">
        <f t="shared" si="8"/>
        <v>17348750</v>
      </c>
      <c r="O34" s="51">
        <f t="shared" si="8"/>
        <v>35291250</v>
      </c>
      <c r="P34" s="51">
        <f t="shared" si="8"/>
        <v>36733750</v>
      </c>
      <c r="Q34" s="51">
        <f t="shared" si="8"/>
        <v>89676250</v>
      </c>
      <c r="R34" s="51">
        <f t="shared" si="8"/>
        <v>167618750</v>
      </c>
      <c r="S34" s="51">
        <f t="shared" si="8"/>
        <v>244061250</v>
      </c>
      <c r="T34" s="51">
        <f t="shared" si="8"/>
        <v>392003750</v>
      </c>
      <c r="U34" s="51">
        <f t="shared" si="8"/>
        <v>589946250</v>
      </c>
      <c r="V34" s="51">
        <f t="shared" si="8"/>
        <v>806388750</v>
      </c>
      <c r="W34" s="51">
        <f t="shared" si="8"/>
        <v>1129331250</v>
      </c>
      <c r="X34" s="51">
        <f t="shared" si="8"/>
        <v>1502273750</v>
      </c>
      <c r="Y34" s="51">
        <f t="shared" si="8"/>
        <v>1950216250</v>
      </c>
      <c r="Z34" s="51">
        <f t="shared" si="8"/>
        <v>2448158750</v>
      </c>
      <c r="AA34" s="51">
        <f t="shared" si="8"/>
        <v>2996101250</v>
      </c>
      <c r="AB34" s="51">
        <f t="shared" si="8"/>
        <v>3594043750</v>
      </c>
      <c r="AC34" s="51">
        <f t="shared" si="8"/>
        <v>4266986250</v>
      </c>
      <c r="AD34" s="51">
        <f t="shared" si="8"/>
        <v>5014928750</v>
      </c>
    </row>
    <row r="35" spans="4:31" x14ac:dyDescent="0.4">
      <c r="E35" s="55" t="s">
        <v>36</v>
      </c>
      <c r="I35" s="54">
        <v>0.5</v>
      </c>
      <c r="J35" s="54"/>
      <c r="K35" s="52">
        <f>K30*$I$35</f>
        <v>400212500</v>
      </c>
      <c r="L35" s="52">
        <f t="shared" ref="L35:AD35" si="9">L30*$I$35</f>
        <v>64637500</v>
      </c>
      <c r="M35" s="52">
        <f t="shared" si="9"/>
        <v>94062500</v>
      </c>
      <c r="N35" s="52">
        <f t="shared" si="9"/>
        <v>173487500</v>
      </c>
      <c r="O35" s="52">
        <f t="shared" si="9"/>
        <v>352912500</v>
      </c>
      <c r="P35" s="52">
        <f t="shared" si="9"/>
        <v>367337500</v>
      </c>
      <c r="Q35" s="52">
        <f t="shared" si="9"/>
        <v>896762500</v>
      </c>
      <c r="R35" s="52">
        <f t="shared" si="9"/>
        <v>1676187500</v>
      </c>
      <c r="S35" s="52">
        <f t="shared" si="9"/>
        <v>2440612500</v>
      </c>
      <c r="T35" s="52">
        <f t="shared" si="9"/>
        <v>3920037500</v>
      </c>
      <c r="U35" s="52">
        <f t="shared" si="9"/>
        <v>5899462500</v>
      </c>
      <c r="V35" s="52">
        <f t="shared" si="9"/>
        <v>8063887500</v>
      </c>
      <c r="W35" s="52">
        <f t="shared" si="9"/>
        <v>11293312500</v>
      </c>
      <c r="X35" s="52">
        <f t="shared" si="9"/>
        <v>15022737500</v>
      </c>
      <c r="Y35" s="52">
        <f t="shared" si="9"/>
        <v>19502162500</v>
      </c>
      <c r="Z35" s="52">
        <f>Z30*$I$35</f>
        <v>24481587500</v>
      </c>
      <c r="AA35" s="52">
        <f t="shared" si="9"/>
        <v>29961012500</v>
      </c>
      <c r="AB35" s="52">
        <f t="shared" si="9"/>
        <v>35940437500</v>
      </c>
      <c r="AC35" s="52">
        <f t="shared" si="9"/>
        <v>42669862500</v>
      </c>
      <c r="AD35" s="52">
        <f t="shared" si="9"/>
        <v>50149287500</v>
      </c>
      <c r="AE35" s="52"/>
    </row>
    <row r="36" spans="4:31" x14ac:dyDescent="0.4">
      <c r="E36" s="55" t="s">
        <v>35</v>
      </c>
      <c r="I36" s="54">
        <v>0.2</v>
      </c>
      <c r="J36" s="54"/>
      <c r="K36" s="52">
        <f>K30*$I$36</f>
        <v>160085000</v>
      </c>
      <c r="L36" s="52">
        <f t="shared" ref="L36:AD36" si="10">L30*$I$36</f>
        <v>25855000</v>
      </c>
      <c r="M36" s="52">
        <f t="shared" si="10"/>
        <v>37625000</v>
      </c>
      <c r="N36" s="52">
        <f t="shared" si="10"/>
        <v>69395000</v>
      </c>
      <c r="O36" s="52">
        <f t="shared" si="10"/>
        <v>141165000</v>
      </c>
      <c r="P36" s="52">
        <f t="shared" si="10"/>
        <v>146935000</v>
      </c>
      <c r="Q36" s="52">
        <f t="shared" si="10"/>
        <v>358705000</v>
      </c>
      <c r="R36" s="52">
        <f t="shared" si="10"/>
        <v>670475000</v>
      </c>
      <c r="S36" s="52">
        <f t="shared" si="10"/>
        <v>976245000</v>
      </c>
      <c r="T36" s="52">
        <f t="shared" si="10"/>
        <v>1568015000</v>
      </c>
      <c r="U36" s="52">
        <f t="shared" si="10"/>
        <v>2359785000</v>
      </c>
      <c r="V36" s="52">
        <f t="shared" si="10"/>
        <v>3225555000</v>
      </c>
      <c r="W36" s="52">
        <f t="shared" si="10"/>
        <v>4517325000</v>
      </c>
      <c r="X36" s="52">
        <f t="shared" si="10"/>
        <v>6009095000</v>
      </c>
      <c r="Y36" s="52">
        <f t="shared" si="10"/>
        <v>7800865000</v>
      </c>
      <c r="Z36" s="52">
        <f t="shared" si="10"/>
        <v>9792635000</v>
      </c>
      <c r="AA36" s="52">
        <f t="shared" si="10"/>
        <v>11984405000</v>
      </c>
      <c r="AB36" s="52">
        <f t="shared" si="10"/>
        <v>14376175000</v>
      </c>
      <c r="AC36" s="52">
        <f t="shared" si="10"/>
        <v>17067945000</v>
      </c>
      <c r="AD36" s="52">
        <f t="shared" si="10"/>
        <v>20059715000</v>
      </c>
    </row>
    <row r="37" spans="4:31" x14ac:dyDescent="0.4">
      <c r="E37" s="55" t="s">
        <v>33</v>
      </c>
      <c r="I37" s="54">
        <v>0.05</v>
      </c>
      <c r="J37" s="54"/>
      <c r="K37" s="52">
        <f>K30*$I$37</f>
        <v>40021250</v>
      </c>
      <c r="L37" s="52">
        <f t="shared" ref="L37:AD37" si="11">L30*$I$37</f>
        <v>6463750</v>
      </c>
      <c r="M37" s="52">
        <f t="shared" si="11"/>
        <v>9406250</v>
      </c>
      <c r="N37" s="52">
        <f t="shared" si="11"/>
        <v>17348750</v>
      </c>
      <c r="O37" s="52">
        <f t="shared" si="11"/>
        <v>35291250</v>
      </c>
      <c r="P37" s="52">
        <f t="shared" si="11"/>
        <v>36733750</v>
      </c>
      <c r="Q37" s="52">
        <f t="shared" si="11"/>
        <v>89676250</v>
      </c>
      <c r="R37" s="52">
        <f t="shared" si="11"/>
        <v>167618750</v>
      </c>
      <c r="S37" s="52">
        <f t="shared" si="11"/>
        <v>244061250</v>
      </c>
      <c r="T37" s="52">
        <f t="shared" si="11"/>
        <v>392003750</v>
      </c>
      <c r="U37" s="52">
        <f t="shared" si="11"/>
        <v>589946250</v>
      </c>
      <c r="V37" s="52">
        <f t="shared" si="11"/>
        <v>806388750</v>
      </c>
      <c r="W37" s="52">
        <f t="shared" si="11"/>
        <v>1129331250</v>
      </c>
      <c r="X37" s="52">
        <f t="shared" si="11"/>
        <v>1502273750</v>
      </c>
      <c r="Y37" s="52">
        <f t="shared" si="11"/>
        <v>1950216250</v>
      </c>
      <c r="Z37" s="52">
        <f t="shared" si="11"/>
        <v>2448158750</v>
      </c>
      <c r="AA37" s="52">
        <f t="shared" si="11"/>
        <v>2996101250</v>
      </c>
      <c r="AB37" s="52">
        <f t="shared" si="11"/>
        <v>3594043750</v>
      </c>
      <c r="AC37" s="52">
        <f t="shared" si="11"/>
        <v>4266986250</v>
      </c>
      <c r="AD37" s="52">
        <f t="shared" si="11"/>
        <v>5014928750</v>
      </c>
    </row>
    <row r="38" spans="4:31" x14ac:dyDescent="0.4">
      <c r="E38" s="55" t="s">
        <v>34</v>
      </c>
      <c r="I38" s="54">
        <v>0.05</v>
      </c>
      <c r="J38" s="54"/>
      <c r="K38" s="52">
        <f>K30*$I$38</f>
        <v>40021250</v>
      </c>
      <c r="L38" s="52">
        <f t="shared" ref="L38:AD38" si="12">L30*$I$38</f>
        <v>6463750</v>
      </c>
      <c r="M38" s="52">
        <f t="shared" si="12"/>
        <v>9406250</v>
      </c>
      <c r="N38" s="52">
        <f t="shared" si="12"/>
        <v>17348750</v>
      </c>
      <c r="O38" s="52">
        <f t="shared" si="12"/>
        <v>35291250</v>
      </c>
      <c r="P38" s="52">
        <f t="shared" si="12"/>
        <v>36733750</v>
      </c>
      <c r="Q38" s="52">
        <f t="shared" si="12"/>
        <v>89676250</v>
      </c>
      <c r="R38" s="52">
        <f t="shared" si="12"/>
        <v>167618750</v>
      </c>
      <c r="S38" s="52">
        <f t="shared" si="12"/>
        <v>244061250</v>
      </c>
      <c r="T38" s="52">
        <f t="shared" si="12"/>
        <v>392003750</v>
      </c>
      <c r="U38" s="52">
        <f t="shared" si="12"/>
        <v>589946250</v>
      </c>
      <c r="V38" s="52">
        <f t="shared" si="12"/>
        <v>806388750</v>
      </c>
      <c r="W38" s="52">
        <f t="shared" si="12"/>
        <v>1129331250</v>
      </c>
      <c r="X38" s="52">
        <f t="shared" si="12"/>
        <v>1502273750</v>
      </c>
      <c r="Y38" s="52">
        <f t="shared" si="12"/>
        <v>1950216250</v>
      </c>
      <c r="Z38" s="52">
        <f t="shared" si="12"/>
        <v>2448158750</v>
      </c>
      <c r="AA38" s="52">
        <f t="shared" si="12"/>
        <v>2996101250</v>
      </c>
      <c r="AB38" s="52">
        <f t="shared" si="12"/>
        <v>3594043750</v>
      </c>
      <c r="AC38" s="52">
        <f t="shared" si="12"/>
        <v>4266986250</v>
      </c>
      <c r="AD38" s="52">
        <f t="shared" si="12"/>
        <v>5014928750</v>
      </c>
    </row>
    <row r="39" spans="4:31" x14ac:dyDescent="0.4">
      <c r="K39" s="50"/>
    </row>
    <row r="40" spans="4:31" x14ac:dyDescent="0.4">
      <c r="I40" s="56">
        <f>SUM(I32:I38)</f>
        <v>1</v>
      </c>
      <c r="J40" s="56"/>
      <c r="K40" s="52">
        <f>SUM(K32:K38)</f>
        <v>800425000</v>
      </c>
      <c r="L40" s="52">
        <f>SUM(L32:L38)</f>
        <v>129275000</v>
      </c>
      <c r="M40" s="52">
        <f>SUM(M32:M38)</f>
        <v>188125000</v>
      </c>
      <c r="N40" s="52">
        <f>SUM(N32:N38)</f>
        <v>346975000</v>
      </c>
      <c r="O40" s="52">
        <f t="shared" ref="O40:AD40" si="13">SUM(O32:O38)</f>
        <v>705825000</v>
      </c>
      <c r="P40" s="52">
        <f t="shared" si="13"/>
        <v>734675000</v>
      </c>
      <c r="Q40" s="52">
        <f t="shared" si="13"/>
        <v>1793525000</v>
      </c>
      <c r="R40" s="52">
        <f t="shared" si="13"/>
        <v>3352375000</v>
      </c>
      <c r="S40" s="52">
        <f t="shared" si="13"/>
        <v>4881225000</v>
      </c>
      <c r="T40" s="52">
        <f t="shared" si="13"/>
        <v>7840075000</v>
      </c>
      <c r="U40" s="52">
        <f t="shared" si="13"/>
        <v>11798925000</v>
      </c>
      <c r="V40" s="52">
        <f t="shared" si="13"/>
        <v>16127775000</v>
      </c>
      <c r="W40" s="52">
        <f t="shared" si="13"/>
        <v>22586625000</v>
      </c>
      <c r="X40" s="52">
        <f t="shared" si="13"/>
        <v>30045475000</v>
      </c>
      <c r="Y40" s="52">
        <f t="shared" si="13"/>
        <v>39004325000</v>
      </c>
      <c r="Z40" s="52">
        <f t="shared" si="13"/>
        <v>48963175000</v>
      </c>
      <c r="AA40" s="52">
        <f t="shared" si="13"/>
        <v>59922025000</v>
      </c>
      <c r="AB40" s="52">
        <f t="shared" si="13"/>
        <v>71880875000</v>
      </c>
      <c r="AC40" s="52">
        <f t="shared" si="13"/>
        <v>85339725000</v>
      </c>
      <c r="AD40" s="52">
        <f t="shared" si="13"/>
        <v>100298575000</v>
      </c>
    </row>
    <row r="46" spans="4:31" x14ac:dyDescent="0.4">
      <c r="D46" s="52">
        <f>1000*20*20</f>
        <v>400000</v>
      </c>
    </row>
  </sheetData>
  <mergeCells count="16">
    <mergeCell ref="K27:AE27"/>
    <mergeCell ref="I29:AE29"/>
    <mergeCell ref="C23:E23"/>
    <mergeCell ref="C24:E24"/>
    <mergeCell ref="B26:E26"/>
    <mergeCell ref="B28:E28"/>
    <mergeCell ref="C5:C10"/>
    <mergeCell ref="B5:B24"/>
    <mergeCell ref="B30:E30"/>
    <mergeCell ref="D18:D20"/>
    <mergeCell ref="C11:C20"/>
    <mergeCell ref="D8:D10"/>
    <mergeCell ref="D5:D7"/>
    <mergeCell ref="C21:C22"/>
    <mergeCell ref="D21:D22"/>
    <mergeCell ref="D11:D17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M23:AD23 I23 J23:L23" formulaRange="1"/>
    <ignoredError sqref="J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세호 김</dc:creator>
  <cp:lastModifiedBy>SEHO KIM</cp:lastModifiedBy>
  <dcterms:created xsi:type="dcterms:W3CDTF">2026-02-23T14:54:45Z</dcterms:created>
  <dcterms:modified xsi:type="dcterms:W3CDTF">2026-03-24T16:22:22Z</dcterms:modified>
</cp:coreProperties>
</file>